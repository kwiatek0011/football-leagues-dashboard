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\Desktop\analityczka\26-27\Ekstraklasa 26-27\"/>
    </mc:Choice>
  </mc:AlternateContent>
  <xr:revisionPtr revIDLastSave="0" documentId="8_{3843870E-5701-4DD8-8438-1571AF6FAF51}" xr6:coauthVersionLast="47" xr6:coauthVersionMax="47" xr10:uidLastSave="{00000000-0000-0000-0000-000000000000}"/>
  <bookViews>
    <workbookView xWindow="-120" yWindow="-120" windowWidth="29040" windowHeight="15840" xr2:uid="{723BE2C8-720D-41E0-A496-B3B96A8488E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4" i="1" l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<sst xmlns="http://schemas.openxmlformats.org/spreadsheetml/2006/main" count="560" uniqueCount="129">
  <si>
    <t>date</t>
  </si>
  <si>
    <t>home_team</t>
  </si>
  <si>
    <t>away_team</t>
  </si>
  <si>
    <t>home_goals</t>
  </si>
  <si>
    <t>away_goals</t>
  </si>
  <si>
    <t>Ball possession home</t>
  </si>
  <si>
    <t>Ball possession away</t>
  </si>
  <si>
    <t>Expected goals (xG) home</t>
  </si>
  <si>
    <t>Expected goals (xG) away</t>
  </si>
  <si>
    <t>Total shots home</t>
  </si>
  <si>
    <t>Total shots away</t>
  </si>
  <si>
    <t>Shots on target home</t>
  </si>
  <si>
    <t>Shots on target away</t>
  </si>
  <si>
    <t>Big chances home</t>
  </si>
  <si>
    <t>Big chances away</t>
  </si>
  <si>
    <t>Big chances missed home</t>
  </si>
  <si>
    <t>Big chances missed away</t>
  </si>
  <si>
    <t>Accurate passes home</t>
  </si>
  <si>
    <t>Accurate passes away</t>
  </si>
  <si>
    <t>Fouls committed home</t>
  </si>
  <si>
    <t>Fouls committed away</t>
  </si>
  <si>
    <t>Corners home</t>
  </si>
  <si>
    <t>Corners away</t>
  </si>
  <si>
    <t>Shots home</t>
  </si>
  <si>
    <t>Shots away</t>
  </si>
  <si>
    <t>Shots off target home</t>
  </si>
  <si>
    <t>Shots off target away</t>
  </si>
  <si>
    <t>Blocked shots home</t>
  </si>
  <si>
    <t>Blocked shots away</t>
  </si>
  <si>
    <t>Hit woodwork home</t>
  </si>
  <si>
    <t>Hit woodwork away</t>
  </si>
  <si>
    <t>Shots inside box home</t>
  </si>
  <si>
    <t>Shots inside box away</t>
  </si>
  <si>
    <t>Shots outside box home</t>
  </si>
  <si>
    <t>Shots outside box away</t>
  </si>
  <si>
    <t>xG open play home</t>
  </si>
  <si>
    <t>xG open play away</t>
  </si>
  <si>
    <t>xG set play home</t>
  </si>
  <si>
    <t>xG set play away</t>
  </si>
  <si>
    <t>xG non-penalty home</t>
  </si>
  <si>
    <t>xG non-penalty away</t>
  </si>
  <si>
    <t>xG on target (xGOT) home</t>
  </si>
  <si>
    <t>xG on target (xGOT) away</t>
  </si>
  <si>
    <t>Passes home</t>
  </si>
  <si>
    <t>Passes away</t>
  </si>
  <si>
    <t>Own half home</t>
  </si>
  <si>
    <t>Own half away</t>
  </si>
  <si>
    <t>Opposition half home</t>
  </si>
  <si>
    <t>Opposition half away</t>
  </si>
  <si>
    <t>Accurate long balls home</t>
  </si>
  <si>
    <t>Accurate long balls away</t>
  </si>
  <si>
    <t>Accurate crosses home</t>
  </si>
  <si>
    <t>Accurate crosses away</t>
  </si>
  <si>
    <t>Throws home</t>
  </si>
  <si>
    <t>Throws away</t>
  </si>
  <si>
    <t>Touches in opposition box home</t>
  </si>
  <si>
    <t>Touches in opposition box away</t>
  </si>
  <si>
    <t>Offsides home</t>
  </si>
  <si>
    <t>Offsides away</t>
  </si>
  <si>
    <t>Defence home</t>
  </si>
  <si>
    <t>Defence away</t>
  </si>
  <si>
    <t>Tackles home</t>
  </si>
  <si>
    <t>Tackles away</t>
  </si>
  <si>
    <t>Interceptions home</t>
  </si>
  <si>
    <t>Interceptions away</t>
  </si>
  <si>
    <t>Blocks home</t>
  </si>
  <si>
    <t>Blocks away</t>
  </si>
  <si>
    <t>Clearances home</t>
  </si>
  <si>
    <t>Clearances away</t>
  </si>
  <si>
    <t>Keeper saves home</t>
  </si>
  <si>
    <t>Keeper saves away</t>
  </si>
  <si>
    <t>Duels home</t>
  </si>
  <si>
    <t>Duels away</t>
  </si>
  <si>
    <t>Duels won home</t>
  </si>
  <si>
    <t>Duels won away</t>
  </si>
  <si>
    <t>Ground duels won home</t>
  </si>
  <si>
    <t>Ground duels won away</t>
  </si>
  <si>
    <t>Aerial duels won home</t>
  </si>
  <si>
    <t>Aerial duels won away</t>
  </si>
  <si>
    <t>Successful dribbles home</t>
  </si>
  <si>
    <t>Successful dribbles away</t>
  </si>
  <si>
    <t>Discipline home</t>
  </si>
  <si>
    <t>Discipline away</t>
  </si>
  <si>
    <t>Yellow cards home</t>
  </si>
  <si>
    <t>Yellow cards away</t>
  </si>
  <si>
    <t>Red cards home</t>
  </si>
  <si>
    <t>Red cards away</t>
  </si>
  <si>
    <t xml:space="preserve"> Bayern München</t>
  </si>
  <si>
    <t>VfB Stuttgart</t>
  </si>
  <si>
    <t>Fri 28 August, 20:30</t>
  </si>
  <si>
    <t>none</t>
  </si>
  <si>
    <t>Sat 29 August, 15:30</t>
  </si>
  <si>
    <t>Elversberg</t>
  </si>
  <si>
    <t>Bayer Leverkusen</t>
  </si>
  <si>
    <t>1. FC Köln</t>
  </si>
  <si>
    <t>Hoffenheim</t>
  </si>
  <si>
    <t>Mainz 05</t>
  </si>
  <si>
    <t>Paderborn</t>
  </si>
  <si>
    <t>RB Leipzig</t>
  </si>
  <si>
    <t>Borussia Mönchengladbach</t>
  </si>
  <si>
    <t>Union Berlin</t>
  </si>
  <si>
    <t>Eintracht Frankfurt</t>
  </si>
  <si>
    <t>Sat 29 August, 18:30</t>
  </si>
  <si>
    <t>Borussia Dortmund</t>
  </si>
  <si>
    <t>Hamburger SV</t>
  </si>
  <si>
    <t>Sun 30 August, 15:30</t>
  </si>
  <si>
    <t>Freiburg</t>
  </si>
  <si>
    <t>Werder Bremen</t>
  </si>
  <si>
    <t>Augsburg</t>
  </si>
  <si>
    <t>Schalke 04</t>
  </si>
  <si>
    <t>Fri 4 September, 20:30</t>
  </si>
  <si>
    <t>Sat 5 September, 15:30</t>
  </si>
  <si>
    <t>Sat 5 September, 18:30</t>
  </si>
  <si>
    <t>Sun 6 September, 15:30</t>
  </si>
  <si>
    <t>Sun 6 September, 17:30</t>
  </si>
  <si>
    <t>Fri 11 September, 20:30</t>
  </si>
  <si>
    <t>Sat 12 September, 15:30</t>
  </si>
  <si>
    <t>Sat 12 September, 18:30</t>
  </si>
  <si>
    <t>Sun 13 September, 15:30</t>
  </si>
  <si>
    <t>Sun 13 September, 17:30</t>
  </si>
  <si>
    <t>Fri 18 September, 20:30</t>
  </si>
  <si>
    <t>Sat 19 September, 15:30</t>
  </si>
  <si>
    <t>Sat 19 September, 18:30</t>
  </si>
  <si>
    <t>Sun 20 September, 15:30</t>
  </si>
  <si>
    <t>Sun 20 September, 17:30</t>
  </si>
  <si>
    <t>Sun 20 September, 19:30</t>
  </si>
  <si>
    <t>Fri 9 October, 20:30</t>
  </si>
  <si>
    <t>Sat 10 October, 15:30</t>
  </si>
  <si>
    <t>Sat 10 October, 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</si>
</sst>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38"/>
    </font>
    <font>
      <sz val="11"/>
      <color theme="1"/>
      <name val="Segoe UI Historic"/>
      <family val="2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1FE2-0441-4690-9385-28E7CF18BF79}">
  <dimension ref="B1:CJ44"/>
  <sheetViews>
    <sheetView tabSelected="1" topLeftCell="BM33" workbookViewId="0">
      <selection activeCell="CK44" sqref="CK44"/>
    </sheetView>
  </sheetViews>
  <sheetFormatPr defaultRowHeight="15" x14ac:dyDescent="0.25"/>
  <cols>
    <col min="2" max="2" width="17.7109375" customWidth="1"/>
    <col min="3" max="3" width="19" customWidth="1"/>
    <col min="4" max="4" width="18.140625" customWidth="1"/>
    <col min="5" max="5" width="12.85546875" customWidth="1"/>
    <col min="6" max="6" width="13.28515625" customWidth="1"/>
    <col min="7" max="7" width="12.42578125" customWidth="1"/>
    <col min="8" max="8" width="13.42578125" customWidth="1"/>
    <col min="9" max="9" width="14.42578125" customWidth="1"/>
    <col min="10" max="10" width="14" customWidth="1"/>
    <col min="19" max="19" width="13" customWidth="1"/>
    <col min="20" max="20" width="12.5703125" customWidth="1"/>
    <col min="21" max="22" width="12.140625" customWidth="1"/>
    <col min="31" max="31" width="14.140625" customWidth="1"/>
    <col min="32" max="32" width="12.7109375" customWidth="1"/>
    <col min="49" max="49" width="13.5703125" customWidth="1"/>
    <col min="50" max="50" width="12.5703125" customWidth="1"/>
    <col min="51" max="51" width="12.140625" customWidth="1"/>
    <col min="52" max="52" width="12" customWidth="1"/>
    <col min="53" max="53" width="11.28515625" customWidth="1"/>
    <col min="54" max="54" width="11.85546875" customWidth="1"/>
    <col min="57" max="57" width="13" customWidth="1"/>
    <col min="58" max="58" width="12.5703125" customWidth="1"/>
    <col min="59" max="60" width="12" customWidth="1"/>
    <col min="61" max="61" width="12.28515625" customWidth="1"/>
    <col min="62" max="62" width="12.42578125" customWidth="1"/>
    <col min="65" max="65" width="15.140625" customWidth="1"/>
    <col min="66" max="66" width="15.85546875" customWidth="1"/>
    <col min="69" max="69" width="14.5703125" customWidth="1"/>
    <col min="70" max="70" width="13.28515625" customWidth="1"/>
    <col min="81" max="81" width="12.7109375" customWidth="1"/>
    <col min="82" max="82" width="13.7109375" customWidth="1"/>
    <col min="83" max="83" width="12.5703125" customWidth="1"/>
    <col min="84" max="84" width="11.28515625" customWidth="1"/>
  </cols>
  <sheetData>
    <row r="1" spans="2:88" ht="7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2:88" ht="28.5" customHeight="1" x14ac:dyDescent="0.25">
      <c r="B2" s="3" t="s">
        <v>89</v>
      </c>
      <c r="C2" s="2" t="s">
        <v>87</v>
      </c>
      <c r="D2" t="s">
        <v>88</v>
      </c>
      <c r="E2">
        <v>5</v>
      </c>
      <c r="F2">
        <v>1</v>
      </c>
      <c r="G2">
        <v>59</v>
      </c>
      <c r="H2">
        <f t="shared" ref="H2:H44" si="0">100-G2</f>
        <v>41</v>
      </c>
      <c r="I2">
        <v>4.0599999999999996</v>
      </c>
      <c r="J2">
        <v>0.79</v>
      </c>
      <c r="K2">
        <v>21</v>
      </c>
      <c r="L2">
        <v>11</v>
      </c>
      <c r="M2">
        <v>9</v>
      </c>
      <c r="N2">
        <v>4</v>
      </c>
      <c r="O2">
        <v>7</v>
      </c>
      <c r="P2">
        <v>2</v>
      </c>
      <c r="Q2">
        <v>3</v>
      </c>
      <c r="R2">
        <v>2</v>
      </c>
      <c r="S2">
        <v>448</v>
      </c>
      <c r="T2">
        <v>280</v>
      </c>
      <c r="U2">
        <v>10</v>
      </c>
      <c r="V2">
        <v>17</v>
      </c>
      <c r="W2">
        <v>9</v>
      </c>
      <c r="X2">
        <v>3</v>
      </c>
      <c r="Y2" t="s">
        <v>90</v>
      </c>
      <c r="Z2" t="s">
        <v>90</v>
      </c>
      <c r="AA2">
        <v>6</v>
      </c>
      <c r="AB2">
        <v>3</v>
      </c>
      <c r="AC2">
        <v>6</v>
      </c>
      <c r="AD2">
        <v>4</v>
      </c>
      <c r="AE2">
        <v>1</v>
      </c>
      <c r="AF2">
        <v>1</v>
      </c>
      <c r="AG2">
        <v>14</v>
      </c>
      <c r="AH2">
        <v>7</v>
      </c>
      <c r="AI2">
        <v>7</v>
      </c>
      <c r="AJ2">
        <v>4</v>
      </c>
      <c r="AK2">
        <v>3.55</v>
      </c>
      <c r="AL2">
        <v>0.65</v>
      </c>
      <c r="AM2">
        <v>0.51</v>
      </c>
      <c r="AN2">
        <v>0.14000000000000001</v>
      </c>
      <c r="AO2">
        <v>4.0599999999999996</v>
      </c>
      <c r="AP2">
        <v>0.79</v>
      </c>
      <c r="AQ2">
        <v>4.4400000000000004</v>
      </c>
      <c r="AR2">
        <v>1.1299999999999999</v>
      </c>
      <c r="AS2">
        <v>548</v>
      </c>
      <c r="AT2">
        <v>370</v>
      </c>
      <c r="AU2">
        <v>197</v>
      </c>
      <c r="AV2">
        <v>132</v>
      </c>
      <c r="AW2">
        <v>251</v>
      </c>
      <c r="AX2">
        <v>148</v>
      </c>
      <c r="AY2">
        <v>29</v>
      </c>
      <c r="AZ2">
        <v>17</v>
      </c>
      <c r="BA2">
        <v>2</v>
      </c>
      <c r="BB2">
        <v>2</v>
      </c>
      <c r="BC2">
        <v>15</v>
      </c>
      <c r="BD2">
        <v>8</v>
      </c>
      <c r="BE2">
        <v>49</v>
      </c>
      <c r="BF2">
        <v>17</v>
      </c>
      <c r="BG2">
        <v>3</v>
      </c>
      <c r="BH2">
        <v>1</v>
      </c>
      <c r="BI2" t="s">
        <v>90</v>
      </c>
      <c r="BJ2" t="s">
        <v>90</v>
      </c>
      <c r="BK2">
        <v>6</v>
      </c>
      <c r="BL2">
        <v>19</v>
      </c>
      <c r="BM2">
        <v>11</v>
      </c>
      <c r="BN2">
        <v>12</v>
      </c>
      <c r="BO2">
        <v>4</v>
      </c>
      <c r="BP2">
        <v>6</v>
      </c>
      <c r="BQ2">
        <v>21</v>
      </c>
      <c r="BR2">
        <v>25</v>
      </c>
      <c r="BS2">
        <v>3</v>
      </c>
      <c r="BT2">
        <v>5</v>
      </c>
      <c r="BU2" t="s">
        <v>90</v>
      </c>
      <c r="BV2" t="s">
        <v>90</v>
      </c>
      <c r="BW2">
        <v>48</v>
      </c>
      <c r="BX2">
        <v>46</v>
      </c>
      <c r="BY2">
        <v>33</v>
      </c>
      <c r="BZ2">
        <v>31</v>
      </c>
      <c r="CA2">
        <v>15</v>
      </c>
      <c r="CB2">
        <v>15</v>
      </c>
      <c r="CC2">
        <v>10</v>
      </c>
      <c r="CD2">
        <v>2</v>
      </c>
      <c r="CE2" t="s">
        <v>90</v>
      </c>
      <c r="CF2" t="s">
        <v>90</v>
      </c>
      <c r="CG2">
        <v>1</v>
      </c>
      <c r="CH2">
        <v>3</v>
      </c>
      <c r="CI2">
        <v>0</v>
      </c>
      <c r="CJ2">
        <v>0</v>
      </c>
    </row>
    <row r="3" spans="2:88" ht="25.5" customHeight="1" x14ac:dyDescent="0.25">
      <c r="B3" s="3" t="s">
        <v>91</v>
      </c>
      <c r="C3" t="s">
        <v>92</v>
      </c>
      <c r="D3" s="4" t="s">
        <v>93</v>
      </c>
      <c r="E3">
        <v>3</v>
      </c>
      <c r="F3">
        <v>2</v>
      </c>
      <c r="G3">
        <v>33</v>
      </c>
      <c r="H3">
        <f t="shared" si="0"/>
        <v>67</v>
      </c>
      <c r="I3">
        <v>1.1200000000000001</v>
      </c>
      <c r="J3">
        <v>1.98</v>
      </c>
      <c r="K3">
        <v>11</v>
      </c>
      <c r="L3">
        <v>2</v>
      </c>
      <c r="M3">
        <v>16</v>
      </c>
      <c r="N3">
        <v>4</v>
      </c>
      <c r="O3">
        <v>2</v>
      </c>
      <c r="P3">
        <v>6</v>
      </c>
      <c r="Q3">
        <v>1</v>
      </c>
      <c r="R3">
        <v>4</v>
      </c>
      <c r="S3">
        <v>212</v>
      </c>
      <c r="T3">
        <v>513</v>
      </c>
      <c r="U3">
        <v>18</v>
      </c>
      <c r="V3">
        <v>15</v>
      </c>
      <c r="W3">
        <v>4</v>
      </c>
      <c r="X3">
        <v>3</v>
      </c>
      <c r="Y3" t="s">
        <v>90</v>
      </c>
      <c r="Z3" t="s">
        <v>90</v>
      </c>
      <c r="AA3">
        <v>3</v>
      </c>
      <c r="AB3">
        <v>13</v>
      </c>
      <c r="AC3">
        <v>2</v>
      </c>
      <c r="AD3">
        <v>4</v>
      </c>
      <c r="AE3">
        <v>0</v>
      </c>
      <c r="AF3">
        <v>2</v>
      </c>
      <c r="AG3">
        <v>8</v>
      </c>
      <c r="AH3">
        <v>13</v>
      </c>
      <c r="AI3">
        <v>3</v>
      </c>
      <c r="AJ3">
        <v>8</v>
      </c>
      <c r="AK3">
        <v>1.01</v>
      </c>
      <c r="AL3">
        <v>1.34</v>
      </c>
      <c r="AM3">
        <v>0.1</v>
      </c>
      <c r="AN3">
        <v>0.65</v>
      </c>
      <c r="AO3">
        <v>1.1200000000000001</v>
      </c>
      <c r="AP3">
        <v>1.98</v>
      </c>
      <c r="AQ3">
        <v>1.48</v>
      </c>
      <c r="AR3">
        <v>2.15</v>
      </c>
      <c r="AS3">
        <v>289</v>
      </c>
      <c r="AT3">
        <v>583</v>
      </c>
      <c r="AU3">
        <v>140</v>
      </c>
      <c r="AV3">
        <v>223</v>
      </c>
      <c r="AW3">
        <v>72</v>
      </c>
      <c r="AX3">
        <v>290</v>
      </c>
      <c r="AY3">
        <v>17</v>
      </c>
      <c r="AZ3">
        <v>15</v>
      </c>
      <c r="BA3">
        <v>3</v>
      </c>
      <c r="BB3">
        <v>12</v>
      </c>
      <c r="BC3">
        <v>17</v>
      </c>
      <c r="BD3">
        <v>17</v>
      </c>
      <c r="BE3">
        <v>19</v>
      </c>
      <c r="BF3">
        <v>41</v>
      </c>
      <c r="BG3">
        <v>1</v>
      </c>
      <c r="BH3">
        <v>1</v>
      </c>
      <c r="BI3" t="s">
        <v>90</v>
      </c>
      <c r="BJ3" t="s">
        <v>90</v>
      </c>
      <c r="BK3">
        <v>12</v>
      </c>
      <c r="BL3">
        <v>12</v>
      </c>
      <c r="BM3">
        <v>12</v>
      </c>
      <c r="BN3">
        <v>11</v>
      </c>
      <c r="BO3">
        <v>3</v>
      </c>
      <c r="BP3">
        <v>2</v>
      </c>
      <c r="BQ3">
        <v>32</v>
      </c>
      <c r="BR3">
        <v>14</v>
      </c>
      <c r="BS3">
        <v>2</v>
      </c>
      <c r="BT3">
        <v>3</v>
      </c>
      <c r="BU3" t="s">
        <v>90</v>
      </c>
      <c r="BV3" t="s">
        <v>90</v>
      </c>
      <c r="BW3">
        <v>41</v>
      </c>
      <c r="BX3">
        <v>45</v>
      </c>
      <c r="BY3">
        <v>31</v>
      </c>
      <c r="BZ3">
        <v>34</v>
      </c>
      <c r="CA3">
        <v>10</v>
      </c>
      <c r="CB3">
        <v>11</v>
      </c>
      <c r="CC3">
        <v>5</v>
      </c>
      <c r="CD3">
        <v>5</v>
      </c>
      <c r="CE3" t="s">
        <v>90</v>
      </c>
      <c r="CF3" t="s">
        <v>90</v>
      </c>
      <c r="CG3">
        <v>3</v>
      </c>
      <c r="CH3">
        <v>2</v>
      </c>
      <c r="CI3">
        <v>0</v>
      </c>
      <c r="CJ3">
        <v>0</v>
      </c>
    </row>
    <row r="4" spans="2:88" ht="21.75" customHeight="1" x14ac:dyDescent="0.25">
      <c r="B4" s="3" t="s">
        <v>91</v>
      </c>
      <c r="C4" s="4" t="s">
        <v>94</v>
      </c>
      <c r="D4" t="s">
        <v>95</v>
      </c>
      <c r="E4">
        <v>3</v>
      </c>
      <c r="F4">
        <v>2</v>
      </c>
      <c r="G4">
        <v>41</v>
      </c>
      <c r="H4">
        <f t="shared" si="0"/>
        <v>59</v>
      </c>
      <c r="I4">
        <v>1.71</v>
      </c>
      <c r="J4">
        <v>1.75</v>
      </c>
      <c r="K4">
        <v>18</v>
      </c>
      <c r="L4">
        <v>15</v>
      </c>
      <c r="M4">
        <v>6</v>
      </c>
      <c r="N4">
        <v>4</v>
      </c>
      <c r="O4">
        <v>4</v>
      </c>
      <c r="P4">
        <v>3</v>
      </c>
      <c r="Q4">
        <v>2</v>
      </c>
      <c r="R4">
        <v>3</v>
      </c>
      <c r="S4">
        <v>277</v>
      </c>
      <c r="T4">
        <v>423</v>
      </c>
      <c r="U4">
        <v>11</v>
      </c>
      <c r="V4">
        <v>14</v>
      </c>
      <c r="W4">
        <v>6</v>
      </c>
      <c r="X4">
        <v>7</v>
      </c>
      <c r="Y4" t="s">
        <v>90</v>
      </c>
      <c r="Z4" t="s">
        <v>90</v>
      </c>
      <c r="AA4">
        <v>7</v>
      </c>
      <c r="AB4">
        <v>7</v>
      </c>
      <c r="AC4">
        <v>5</v>
      </c>
      <c r="AD4">
        <v>4</v>
      </c>
      <c r="AE4">
        <v>0</v>
      </c>
      <c r="AF4">
        <v>0</v>
      </c>
      <c r="AG4">
        <v>13</v>
      </c>
      <c r="AH4">
        <v>8</v>
      </c>
      <c r="AI4">
        <v>5</v>
      </c>
      <c r="AJ4">
        <v>7</v>
      </c>
      <c r="AK4">
        <v>1.33</v>
      </c>
      <c r="AL4">
        <v>0.73</v>
      </c>
      <c r="AM4">
        <v>0.38</v>
      </c>
      <c r="AN4">
        <v>0.24</v>
      </c>
      <c r="AO4">
        <v>1.71</v>
      </c>
      <c r="AP4">
        <v>0.96</v>
      </c>
      <c r="AQ4">
        <v>3.44</v>
      </c>
      <c r="AR4">
        <v>2.2799999999999998</v>
      </c>
      <c r="AS4">
        <v>342</v>
      </c>
      <c r="AT4">
        <v>490</v>
      </c>
      <c r="AU4">
        <v>159</v>
      </c>
      <c r="AV4">
        <v>190</v>
      </c>
      <c r="AW4">
        <v>118</v>
      </c>
      <c r="AX4">
        <v>223</v>
      </c>
      <c r="AY4">
        <v>25</v>
      </c>
      <c r="AZ4">
        <v>29</v>
      </c>
      <c r="BA4">
        <v>7</v>
      </c>
      <c r="BB4">
        <v>8</v>
      </c>
      <c r="BC4">
        <v>17</v>
      </c>
      <c r="BD4">
        <v>21</v>
      </c>
      <c r="BE4">
        <v>29</v>
      </c>
      <c r="BF4">
        <v>37</v>
      </c>
      <c r="BG4">
        <v>0</v>
      </c>
      <c r="BH4">
        <v>0</v>
      </c>
      <c r="BI4" t="s">
        <v>90</v>
      </c>
      <c r="BJ4" t="s">
        <v>90</v>
      </c>
      <c r="BK4">
        <v>17</v>
      </c>
      <c r="BL4">
        <v>13</v>
      </c>
      <c r="BM4">
        <v>6</v>
      </c>
      <c r="BN4">
        <v>8</v>
      </c>
      <c r="BO4">
        <v>4</v>
      </c>
      <c r="BP4">
        <v>5</v>
      </c>
      <c r="BQ4">
        <v>38</v>
      </c>
      <c r="BR4">
        <v>30</v>
      </c>
      <c r="BS4">
        <v>2</v>
      </c>
      <c r="BT4">
        <v>3</v>
      </c>
      <c r="BU4" t="s">
        <v>90</v>
      </c>
      <c r="BV4" t="s">
        <v>90</v>
      </c>
      <c r="BW4">
        <v>45</v>
      </c>
      <c r="BX4">
        <v>53</v>
      </c>
      <c r="BY4">
        <v>34</v>
      </c>
      <c r="BZ4">
        <v>28</v>
      </c>
      <c r="CA4">
        <v>11</v>
      </c>
      <c r="CB4">
        <v>25</v>
      </c>
      <c r="CC4">
        <v>4</v>
      </c>
      <c r="CD4">
        <v>5</v>
      </c>
      <c r="CE4" t="s">
        <v>90</v>
      </c>
      <c r="CF4" t="s">
        <v>90</v>
      </c>
      <c r="CG4">
        <v>0</v>
      </c>
      <c r="CH4">
        <v>2</v>
      </c>
      <c r="CI4">
        <v>0</v>
      </c>
      <c r="CJ4">
        <v>0</v>
      </c>
    </row>
    <row r="5" spans="2:88" ht="24.75" customHeight="1" x14ac:dyDescent="0.25">
      <c r="B5" s="3" t="s">
        <v>91</v>
      </c>
      <c r="C5" t="s">
        <v>96</v>
      </c>
      <c r="D5" t="s">
        <v>97</v>
      </c>
      <c r="E5">
        <v>0</v>
      </c>
      <c r="F5">
        <v>0</v>
      </c>
      <c r="G5">
        <v>51</v>
      </c>
      <c r="H5">
        <f t="shared" si="0"/>
        <v>49</v>
      </c>
      <c r="I5">
        <v>1.23</v>
      </c>
      <c r="J5">
        <v>0.73</v>
      </c>
      <c r="K5">
        <v>21</v>
      </c>
      <c r="L5">
        <v>10</v>
      </c>
      <c r="M5">
        <v>4</v>
      </c>
      <c r="N5">
        <v>0</v>
      </c>
      <c r="O5">
        <v>2</v>
      </c>
      <c r="P5">
        <v>1</v>
      </c>
      <c r="Q5">
        <v>2</v>
      </c>
      <c r="R5">
        <v>1</v>
      </c>
      <c r="S5">
        <v>385</v>
      </c>
      <c r="T5">
        <v>386</v>
      </c>
      <c r="U5">
        <v>8</v>
      </c>
      <c r="V5">
        <v>10</v>
      </c>
      <c r="W5">
        <v>11</v>
      </c>
      <c r="X5">
        <v>2</v>
      </c>
      <c r="Y5" t="s">
        <v>90</v>
      </c>
      <c r="Z5" t="s">
        <v>90</v>
      </c>
      <c r="AA5">
        <v>11</v>
      </c>
      <c r="AB5">
        <v>6</v>
      </c>
      <c r="AC5">
        <v>6</v>
      </c>
      <c r="AD5">
        <v>4</v>
      </c>
      <c r="AE5">
        <v>1</v>
      </c>
      <c r="AF5">
        <v>0</v>
      </c>
      <c r="AG5">
        <v>14</v>
      </c>
      <c r="AH5">
        <v>6</v>
      </c>
      <c r="AI5">
        <v>7</v>
      </c>
      <c r="AJ5">
        <v>4</v>
      </c>
      <c r="AK5">
        <v>0.91</v>
      </c>
      <c r="AL5">
        <v>0.65</v>
      </c>
      <c r="AM5">
        <v>0.32</v>
      </c>
      <c r="AN5">
        <v>0.08</v>
      </c>
      <c r="AO5">
        <v>1.23</v>
      </c>
      <c r="AP5">
        <v>0.73</v>
      </c>
      <c r="AQ5">
        <v>0.7</v>
      </c>
      <c r="AR5">
        <v>0</v>
      </c>
      <c r="AS5">
        <v>461</v>
      </c>
      <c r="AT5">
        <v>462</v>
      </c>
      <c r="AU5">
        <v>160</v>
      </c>
      <c r="AV5">
        <v>249</v>
      </c>
      <c r="AW5">
        <v>225</v>
      </c>
      <c r="AX5">
        <v>137</v>
      </c>
      <c r="AY5">
        <v>24</v>
      </c>
      <c r="AZ5">
        <v>28</v>
      </c>
      <c r="BA5">
        <v>13</v>
      </c>
      <c r="BB5">
        <v>2</v>
      </c>
      <c r="BC5">
        <v>19</v>
      </c>
      <c r="BD5">
        <v>15</v>
      </c>
      <c r="BE5">
        <v>36</v>
      </c>
      <c r="BF5">
        <v>19</v>
      </c>
      <c r="BG5">
        <v>1</v>
      </c>
      <c r="BH5">
        <v>1</v>
      </c>
      <c r="BI5" t="s">
        <v>90</v>
      </c>
      <c r="BJ5" t="s">
        <v>90</v>
      </c>
      <c r="BK5">
        <v>16</v>
      </c>
      <c r="BL5">
        <v>15</v>
      </c>
      <c r="BM5">
        <v>12</v>
      </c>
      <c r="BN5">
        <v>14</v>
      </c>
      <c r="BO5">
        <v>3</v>
      </c>
      <c r="BP5">
        <v>6</v>
      </c>
      <c r="BQ5">
        <v>28</v>
      </c>
      <c r="BR5">
        <v>53</v>
      </c>
      <c r="BS5">
        <v>0</v>
      </c>
      <c r="BT5">
        <v>4</v>
      </c>
      <c r="BU5" t="s">
        <v>90</v>
      </c>
      <c r="BV5" t="s">
        <v>90</v>
      </c>
      <c r="BW5">
        <v>47</v>
      </c>
      <c r="BX5">
        <v>48</v>
      </c>
      <c r="BY5">
        <v>28</v>
      </c>
      <c r="BZ5">
        <v>26</v>
      </c>
      <c r="CA5">
        <v>19</v>
      </c>
      <c r="CB5">
        <v>22</v>
      </c>
      <c r="CC5">
        <v>4</v>
      </c>
      <c r="CD5">
        <v>3</v>
      </c>
      <c r="CE5" t="s">
        <v>90</v>
      </c>
      <c r="CF5" t="s">
        <v>90</v>
      </c>
      <c r="CG5">
        <v>1</v>
      </c>
      <c r="CH5">
        <v>2</v>
      </c>
      <c r="CI5">
        <v>0</v>
      </c>
      <c r="CJ5">
        <v>0</v>
      </c>
    </row>
    <row r="6" spans="2:88" ht="24" customHeight="1" x14ac:dyDescent="0.25">
      <c r="B6" s="3" t="s">
        <v>91</v>
      </c>
      <c r="C6" t="s">
        <v>98</v>
      </c>
      <c r="D6" s="5" t="s">
        <v>99</v>
      </c>
      <c r="E6">
        <v>3</v>
      </c>
      <c r="F6">
        <v>0</v>
      </c>
      <c r="G6">
        <v>47</v>
      </c>
      <c r="H6">
        <f t="shared" si="0"/>
        <v>53</v>
      </c>
      <c r="I6">
        <v>3.96</v>
      </c>
      <c r="J6">
        <v>1.0900000000000001</v>
      </c>
      <c r="K6">
        <v>25</v>
      </c>
      <c r="L6">
        <v>15</v>
      </c>
      <c r="M6">
        <v>11</v>
      </c>
      <c r="N6">
        <v>4</v>
      </c>
      <c r="O6">
        <v>6</v>
      </c>
      <c r="P6">
        <v>2</v>
      </c>
      <c r="Q6">
        <v>4</v>
      </c>
      <c r="R6">
        <v>2</v>
      </c>
      <c r="S6">
        <v>358</v>
      </c>
      <c r="T6">
        <v>411</v>
      </c>
      <c r="U6">
        <v>10</v>
      </c>
      <c r="V6">
        <v>13</v>
      </c>
      <c r="W6">
        <v>7</v>
      </c>
      <c r="X6">
        <v>6</v>
      </c>
      <c r="Y6" t="s">
        <v>90</v>
      </c>
      <c r="Z6" t="s">
        <v>90</v>
      </c>
      <c r="AA6">
        <v>10</v>
      </c>
      <c r="AB6">
        <v>5</v>
      </c>
      <c r="AC6">
        <v>4</v>
      </c>
      <c r="AD6">
        <v>6</v>
      </c>
      <c r="AE6">
        <v>1</v>
      </c>
      <c r="AF6">
        <v>1</v>
      </c>
      <c r="AG6">
        <v>19</v>
      </c>
      <c r="AH6">
        <v>10</v>
      </c>
      <c r="AI6">
        <v>6</v>
      </c>
      <c r="AJ6">
        <v>5</v>
      </c>
      <c r="AK6">
        <v>2.69</v>
      </c>
      <c r="AL6">
        <v>0.8</v>
      </c>
      <c r="AM6">
        <v>1.27</v>
      </c>
      <c r="AN6">
        <v>0.28999999999999998</v>
      </c>
      <c r="AO6">
        <v>3.96</v>
      </c>
      <c r="AP6">
        <v>1.0900000000000001</v>
      </c>
      <c r="AQ6">
        <v>3.83</v>
      </c>
      <c r="AR6">
        <v>0.66</v>
      </c>
      <c r="AS6">
        <v>427</v>
      </c>
      <c r="AT6">
        <v>475</v>
      </c>
      <c r="AU6">
        <v>198</v>
      </c>
      <c r="AV6">
        <v>264</v>
      </c>
      <c r="AW6">
        <v>160</v>
      </c>
      <c r="AX6">
        <v>147</v>
      </c>
      <c r="AY6">
        <v>27</v>
      </c>
      <c r="AZ6">
        <v>19</v>
      </c>
      <c r="BA6">
        <v>8</v>
      </c>
      <c r="BB6">
        <v>6</v>
      </c>
      <c r="BC6">
        <v>21</v>
      </c>
      <c r="BD6">
        <v>16</v>
      </c>
      <c r="BE6">
        <v>38</v>
      </c>
      <c r="BF6">
        <v>27</v>
      </c>
      <c r="BG6">
        <v>0</v>
      </c>
      <c r="BH6">
        <v>5</v>
      </c>
      <c r="BI6" t="s">
        <v>90</v>
      </c>
      <c r="BJ6" t="s">
        <v>90</v>
      </c>
      <c r="BK6">
        <v>13</v>
      </c>
      <c r="BL6">
        <v>20</v>
      </c>
      <c r="BM6">
        <v>8</v>
      </c>
      <c r="BN6">
        <v>4</v>
      </c>
      <c r="BO6">
        <v>6</v>
      </c>
      <c r="BP6">
        <v>3</v>
      </c>
      <c r="BQ6">
        <v>32</v>
      </c>
      <c r="BR6">
        <v>20</v>
      </c>
      <c r="BS6">
        <v>4</v>
      </c>
      <c r="BT6">
        <v>8</v>
      </c>
      <c r="BU6" t="s">
        <v>90</v>
      </c>
      <c r="BV6" t="s">
        <v>90</v>
      </c>
      <c r="BW6">
        <v>41</v>
      </c>
      <c r="BX6">
        <v>40</v>
      </c>
      <c r="BY6">
        <v>34</v>
      </c>
      <c r="BZ6">
        <v>33</v>
      </c>
      <c r="CA6">
        <v>7</v>
      </c>
      <c r="CB6">
        <v>7</v>
      </c>
      <c r="CC6">
        <v>8</v>
      </c>
      <c r="CD6">
        <v>3</v>
      </c>
      <c r="CE6" t="s">
        <v>90</v>
      </c>
      <c r="CF6" t="s">
        <v>90</v>
      </c>
      <c r="CG6">
        <v>1</v>
      </c>
      <c r="CH6">
        <v>0</v>
      </c>
      <c r="CI6">
        <v>0</v>
      </c>
      <c r="CJ6">
        <v>0</v>
      </c>
    </row>
    <row r="7" spans="2:88" ht="30" customHeight="1" x14ac:dyDescent="0.25">
      <c r="B7" s="3" t="s">
        <v>91</v>
      </c>
      <c r="C7" t="s">
        <v>100</v>
      </c>
      <c r="D7" t="s">
        <v>101</v>
      </c>
      <c r="E7">
        <v>3</v>
      </c>
      <c r="F7">
        <v>3</v>
      </c>
      <c r="G7">
        <v>49</v>
      </c>
      <c r="H7">
        <f t="shared" si="0"/>
        <v>51</v>
      </c>
      <c r="I7">
        <v>1.84</v>
      </c>
      <c r="J7">
        <v>1.47</v>
      </c>
      <c r="K7">
        <v>19</v>
      </c>
      <c r="L7">
        <v>12</v>
      </c>
      <c r="M7">
        <v>10</v>
      </c>
      <c r="N7">
        <v>3</v>
      </c>
      <c r="O7">
        <v>3</v>
      </c>
      <c r="P7">
        <v>4</v>
      </c>
      <c r="Q7">
        <v>1</v>
      </c>
      <c r="R7">
        <v>1</v>
      </c>
      <c r="S7">
        <v>245</v>
      </c>
      <c r="T7">
        <v>299</v>
      </c>
      <c r="U7">
        <v>11</v>
      </c>
      <c r="V7">
        <v>10</v>
      </c>
      <c r="W7">
        <v>5</v>
      </c>
      <c r="X7">
        <v>2</v>
      </c>
      <c r="Y7" t="s">
        <v>90</v>
      </c>
      <c r="Z7" t="s">
        <v>90</v>
      </c>
      <c r="AA7">
        <v>3</v>
      </c>
      <c r="AB7">
        <v>4</v>
      </c>
      <c r="AC7">
        <v>6</v>
      </c>
      <c r="AD7">
        <v>5</v>
      </c>
      <c r="AE7">
        <v>0</v>
      </c>
      <c r="AF7">
        <v>0</v>
      </c>
      <c r="AG7">
        <v>15</v>
      </c>
      <c r="AH7">
        <v>7</v>
      </c>
      <c r="AI7">
        <v>4</v>
      </c>
      <c r="AJ7">
        <v>5</v>
      </c>
      <c r="AK7">
        <v>0.55000000000000004</v>
      </c>
      <c r="AL7">
        <v>1.19</v>
      </c>
      <c r="AM7">
        <v>1.29</v>
      </c>
      <c r="AN7">
        <v>0.27</v>
      </c>
      <c r="AO7">
        <v>1.84</v>
      </c>
      <c r="AP7">
        <v>1.47</v>
      </c>
      <c r="AQ7">
        <v>3.46</v>
      </c>
      <c r="AR7">
        <v>1.75</v>
      </c>
      <c r="AS7">
        <v>361</v>
      </c>
      <c r="AT7">
        <v>393</v>
      </c>
      <c r="AU7">
        <v>132</v>
      </c>
      <c r="AV7">
        <v>145</v>
      </c>
      <c r="AW7">
        <v>113</v>
      </c>
      <c r="AX7">
        <v>154</v>
      </c>
      <c r="AY7">
        <v>15</v>
      </c>
      <c r="AZ7">
        <v>27</v>
      </c>
      <c r="BA7">
        <v>10</v>
      </c>
      <c r="BB7">
        <v>3</v>
      </c>
      <c r="BC7">
        <v>35</v>
      </c>
      <c r="BD7">
        <v>32</v>
      </c>
      <c r="BE7">
        <v>31</v>
      </c>
      <c r="BF7">
        <v>34</v>
      </c>
      <c r="BG7">
        <v>2</v>
      </c>
      <c r="BH7">
        <v>2</v>
      </c>
      <c r="BI7" t="s">
        <v>90</v>
      </c>
      <c r="BJ7" t="s">
        <v>90</v>
      </c>
      <c r="BK7">
        <v>19</v>
      </c>
      <c r="BL7">
        <v>13</v>
      </c>
      <c r="BM7">
        <v>12</v>
      </c>
      <c r="BN7">
        <v>10</v>
      </c>
      <c r="BO7">
        <v>4</v>
      </c>
      <c r="BP7">
        <v>5</v>
      </c>
      <c r="BQ7">
        <v>41</v>
      </c>
      <c r="BR7">
        <v>50</v>
      </c>
      <c r="BS7">
        <v>0</v>
      </c>
      <c r="BT7">
        <v>8</v>
      </c>
      <c r="BU7" t="s">
        <v>90</v>
      </c>
      <c r="BV7" t="s">
        <v>90</v>
      </c>
      <c r="BW7">
        <v>51</v>
      </c>
      <c r="BX7">
        <v>62</v>
      </c>
      <c r="BY7">
        <v>29</v>
      </c>
      <c r="BZ7">
        <v>33</v>
      </c>
      <c r="CA7">
        <v>22</v>
      </c>
      <c r="CB7">
        <v>29</v>
      </c>
      <c r="CC7">
        <v>2</v>
      </c>
      <c r="CD7">
        <v>10</v>
      </c>
      <c r="CE7" t="s">
        <v>90</v>
      </c>
      <c r="CF7" t="s">
        <v>90</v>
      </c>
      <c r="CG7">
        <v>2</v>
      </c>
      <c r="CH7">
        <v>4</v>
      </c>
      <c r="CI7">
        <v>0</v>
      </c>
      <c r="CJ7">
        <v>0</v>
      </c>
    </row>
    <row r="8" spans="2:88" ht="27.75" customHeight="1" x14ac:dyDescent="0.25">
      <c r="B8" s="3" t="s">
        <v>102</v>
      </c>
      <c r="C8" s="4" t="s">
        <v>103</v>
      </c>
      <c r="D8" s="4" t="s">
        <v>104</v>
      </c>
      <c r="E8">
        <v>2</v>
      </c>
      <c r="F8">
        <v>0</v>
      </c>
      <c r="G8">
        <v>56</v>
      </c>
      <c r="H8">
        <f t="shared" si="0"/>
        <v>44</v>
      </c>
      <c r="I8">
        <v>1.53</v>
      </c>
      <c r="J8">
        <v>0.91</v>
      </c>
      <c r="K8">
        <v>20</v>
      </c>
      <c r="L8">
        <v>8</v>
      </c>
      <c r="M8">
        <v>6</v>
      </c>
      <c r="N8">
        <v>3</v>
      </c>
      <c r="O8">
        <v>0</v>
      </c>
      <c r="P8">
        <v>2</v>
      </c>
      <c r="Q8">
        <v>0</v>
      </c>
      <c r="R8">
        <v>2</v>
      </c>
      <c r="S8">
        <v>472</v>
      </c>
      <c r="T8">
        <v>339</v>
      </c>
      <c r="U8">
        <v>13</v>
      </c>
      <c r="V8">
        <v>19</v>
      </c>
      <c r="W8">
        <v>3</v>
      </c>
      <c r="X8">
        <v>1</v>
      </c>
      <c r="Y8" t="s">
        <v>90</v>
      </c>
      <c r="Z8" t="s">
        <v>90</v>
      </c>
      <c r="AA8">
        <v>10</v>
      </c>
      <c r="AB8">
        <v>5</v>
      </c>
      <c r="AC8">
        <v>4</v>
      </c>
      <c r="AD8">
        <v>0</v>
      </c>
      <c r="AE8">
        <v>0</v>
      </c>
      <c r="AF8">
        <v>1</v>
      </c>
      <c r="AG8">
        <v>12</v>
      </c>
      <c r="AH8">
        <v>4</v>
      </c>
      <c r="AI8">
        <v>8</v>
      </c>
      <c r="AJ8">
        <v>4</v>
      </c>
      <c r="AK8">
        <v>1.42</v>
      </c>
      <c r="AL8">
        <v>0.91</v>
      </c>
      <c r="AM8">
        <v>0.11</v>
      </c>
      <c r="AN8">
        <v>0.01</v>
      </c>
      <c r="AO8">
        <v>1.53</v>
      </c>
      <c r="AP8">
        <v>0.91</v>
      </c>
      <c r="AQ8">
        <v>1.67</v>
      </c>
      <c r="AR8">
        <v>0.17</v>
      </c>
      <c r="AS8">
        <v>538</v>
      </c>
      <c r="AT8">
        <v>419</v>
      </c>
      <c r="AU8">
        <v>188</v>
      </c>
      <c r="AV8">
        <v>221</v>
      </c>
      <c r="AW8">
        <v>284</v>
      </c>
      <c r="AX8">
        <v>118</v>
      </c>
      <c r="AY8">
        <v>22</v>
      </c>
      <c r="AZ8">
        <v>16</v>
      </c>
      <c r="BA8">
        <v>4</v>
      </c>
      <c r="BB8">
        <v>4</v>
      </c>
      <c r="BC8">
        <v>20</v>
      </c>
      <c r="BD8">
        <v>23</v>
      </c>
      <c r="BE8">
        <v>33</v>
      </c>
      <c r="BF8">
        <v>17</v>
      </c>
      <c r="BG8">
        <v>1</v>
      </c>
      <c r="BH8">
        <v>1</v>
      </c>
      <c r="BI8" t="s">
        <v>90</v>
      </c>
      <c r="BJ8" t="s">
        <v>90</v>
      </c>
      <c r="BK8">
        <v>14</v>
      </c>
      <c r="BL8">
        <v>13</v>
      </c>
      <c r="BM8">
        <v>13</v>
      </c>
      <c r="BN8">
        <v>13</v>
      </c>
      <c r="BO8">
        <v>0</v>
      </c>
      <c r="BP8">
        <v>4</v>
      </c>
      <c r="BQ8">
        <v>18</v>
      </c>
      <c r="BR8">
        <v>16</v>
      </c>
      <c r="BS8">
        <v>3</v>
      </c>
      <c r="BT8">
        <v>5</v>
      </c>
      <c r="BU8" t="s">
        <v>90</v>
      </c>
      <c r="BV8" t="s">
        <v>90</v>
      </c>
      <c r="BW8">
        <v>53</v>
      </c>
      <c r="BX8">
        <v>38</v>
      </c>
      <c r="BY8">
        <v>42</v>
      </c>
      <c r="BZ8">
        <v>31</v>
      </c>
      <c r="CA8">
        <v>11</v>
      </c>
      <c r="CB8">
        <v>7</v>
      </c>
      <c r="CC8">
        <v>9</v>
      </c>
      <c r="CD8">
        <v>6</v>
      </c>
      <c r="CE8" t="s">
        <v>90</v>
      </c>
      <c r="CF8" t="s">
        <v>90</v>
      </c>
      <c r="CG8">
        <v>2</v>
      </c>
      <c r="CH8">
        <v>1</v>
      </c>
      <c r="CI8">
        <v>1</v>
      </c>
      <c r="CJ8">
        <v>0</v>
      </c>
    </row>
    <row r="9" spans="2:88" ht="27" customHeight="1" x14ac:dyDescent="0.25">
      <c r="B9" s="3" t="s">
        <v>105</v>
      </c>
      <c r="C9" t="s">
        <v>106</v>
      </c>
      <c r="D9" t="s">
        <v>107</v>
      </c>
      <c r="E9">
        <v>4</v>
      </c>
      <c r="F9">
        <v>1</v>
      </c>
      <c r="G9">
        <v>53</v>
      </c>
      <c r="H9">
        <f t="shared" si="0"/>
        <v>47</v>
      </c>
      <c r="I9">
        <v>2.37</v>
      </c>
      <c r="J9">
        <v>0.54</v>
      </c>
      <c r="K9">
        <v>19</v>
      </c>
      <c r="L9">
        <v>9</v>
      </c>
      <c r="M9">
        <v>5</v>
      </c>
      <c r="N9">
        <v>3</v>
      </c>
      <c r="O9">
        <v>3</v>
      </c>
      <c r="P9">
        <v>2</v>
      </c>
      <c r="Q9">
        <v>0</v>
      </c>
      <c r="R9">
        <v>1</v>
      </c>
      <c r="S9">
        <v>435</v>
      </c>
      <c r="T9">
        <v>372</v>
      </c>
      <c r="U9">
        <v>13</v>
      </c>
      <c r="V9">
        <v>16</v>
      </c>
      <c r="W9">
        <v>6</v>
      </c>
      <c r="X9">
        <v>5</v>
      </c>
      <c r="Y9" t="s">
        <v>90</v>
      </c>
      <c r="Z9" t="s">
        <v>90</v>
      </c>
      <c r="AA9">
        <v>7</v>
      </c>
      <c r="AB9">
        <v>1</v>
      </c>
      <c r="AC9">
        <v>7</v>
      </c>
      <c r="AD9">
        <v>5</v>
      </c>
      <c r="AE9">
        <v>1</v>
      </c>
      <c r="AF9">
        <v>0</v>
      </c>
      <c r="AG9">
        <v>8</v>
      </c>
      <c r="AH9">
        <v>6</v>
      </c>
      <c r="AI9">
        <v>11</v>
      </c>
      <c r="AJ9">
        <v>3</v>
      </c>
      <c r="AK9">
        <v>1.39</v>
      </c>
      <c r="AL9">
        <v>0.31</v>
      </c>
      <c r="AM9">
        <v>0.98</v>
      </c>
      <c r="AN9">
        <v>0.23</v>
      </c>
      <c r="AO9">
        <v>2.37</v>
      </c>
      <c r="AP9">
        <v>0.54</v>
      </c>
      <c r="AQ9">
        <v>3.07</v>
      </c>
      <c r="AR9">
        <v>0.26</v>
      </c>
      <c r="AS9">
        <v>487</v>
      </c>
      <c r="AT9">
        <v>432</v>
      </c>
      <c r="AU9">
        <v>221</v>
      </c>
      <c r="AV9">
        <v>213</v>
      </c>
      <c r="AW9">
        <v>214</v>
      </c>
      <c r="AX9">
        <v>159</v>
      </c>
      <c r="AY9">
        <v>26</v>
      </c>
      <c r="AZ9">
        <v>25</v>
      </c>
      <c r="BA9">
        <v>2</v>
      </c>
      <c r="BB9">
        <v>5</v>
      </c>
      <c r="BC9">
        <v>19</v>
      </c>
      <c r="BD9">
        <v>9</v>
      </c>
      <c r="BE9">
        <v>24</v>
      </c>
      <c r="BF9">
        <v>12</v>
      </c>
      <c r="BG9">
        <v>0</v>
      </c>
      <c r="BH9">
        <v>1</v>
      </c>
      <c r="BI9" t="s">
        <v>90</v>
      </c>
      <c r="BJ9" t="s">
        <v>90</v>
      </c>
      <c r="BK9">
        <v>8</v>
      </c>
      <c r="BL9">
        <v>29</v>
      </c>
      <c r="BM9">
        <v>7</v>
      </c>
      <c r="BN9">
        <v>4</v>
      </c>
      <c r="BO9">
        <v>4</v>
      </c>
      <c r="BP9">
        <v>7</v>
      </c>
      <c r="BQ9">
        <v>24</v>
      </c>
      <c r="BR9">
        <v>31</v>
      </c>
      <c r="BS9">
        <v>2</v>
      </c>
      <c r="BT9">
        <v>1</v>
      </c>
      <c r="BU9" t="s">
        <v>90</v>
      </c>
      <c r="BV9" t="s">
        <v>90</v>
      </c>
      <c r="BW9">
        <v>44</v>
      </c>
      <c r="BX9">
        <v>56</v>
      </c>
      <c r="BY9">
        <v>34</v>
      </c>
      <c r="BZ9">
        <v>46</v>
      </c>
      <c r="CA9">
        <v>10</v>
      </c>
      <c r="CB9">
        <v>10</v>
      </c>
      <c r="CC9">
        <v>10</v>
      </c>
      <c r="CD9">
        <v>5</v>
      </c>
      <c r="CE9" t="s">
        <v>90</v>
      </c>
      <c r="CF9" t="s">
        <v>90</v>
      </c>
      <c r="CG9">
        <v>1</v>
      </c>
      <c r="CH9">
        <v>1</v>
      </c>
      <c r="CI9">
        <v>0</v>
      </c>
      <c r="CJ9">
        <v>0</v>
      </c>
    </row>
    <row r="10" spans="2:88" ht="30.75" customHeight="1" x14ac:dyDescent="0.25">
      <c r="B10" s="3" t="s">
        <v>105</v>
      </c>
      <c r="C10" t="s">
        <v>108</v>
      </c>
      <c r="D10" t="s">
        <v>109</v>
      </c>
      <c r="E10">
        <v>3</v>
      </c>
      <c r="F10">
        <v>0</v>
      </c>
      <c r="G10">
        <v>48</v>
      </c>
      <c r="H10">
        <f t="shared" si="0"/>
        <v>52</v>
      </c>
      <c r="I10">
        <v>3.72</v>
      </c>
      <c r="J10">
        <v>2.1</v>
      </c>
      <c r="K10">
        <v>24</v>
      </c>
      <c r="L10">
        <v>11</v>
      </c>
      <c r="M10">
        <v>13</v>
      </c>
      <c r="N10">
        <v>5</v>
      </c>
      <c r="O10">
        <v>9</v>
      </c>
      <c r="P10">
        <v>4</v>
      </c>
      <c r="Q10">
        <v>8</v>
      </c>
      <c r="R10">
        <v>4</v>
      </c>
      <c r="S10">
        <v>319</v>
      </c>
      <c r="T10">
        <v>343</v>
      </c>
      <c r="U10">
        <v>5</v>
      </c>
      <c r="V10">
        <v>6</v>
      </c>
      <c r="W10">
        <v>11</v>
      </c>
      <c r="X10">
        <v>3</v>
      </c>
      <c r="Y10" t="s">
        <v>90</v>
      </c>
      <c r="Z10" t="s">
        <v>90</v>
      </c>
      <c r="AA10">
        <v>6</v>
      </c>
      <c r="AB10">
        <v>5</v>
      </c>
      <c r="AC10">
        <v>5</v>
      </c>
      <c r="AD10">
        <v>1</v>
      </c>
      <c r="AE10">
        <v>0</v>
      </c>
      <c r="AF10">
        <v>0</v>
      </c>
      <c r="AG10">
        <v>18</v>
      </c>
      <c r="AH10">
        <v>7</v>
      </c>
      <c r="AI10">
        <v>6</v>
      </c>
      <c r="AJ10">
        <v>4</v>
      </c>
      <c r="AK10">
        <v>3.14</v>
      </c>
      <c r="AL10">
        <v>1.69</v>
      </c>
      <c r="AM10">
        <v>0.57999999999999996</v>
      </c>
      <c r="AN10">
        <v>0.41</v>
      </c>
      <c r="AO10">
        <v>3.72</v>
      </c>
      <c r="AP10">
        <v>2.1</v>
      </c>
      <c r="AQ10">
        <v>3.54</v>
      </c>
      <c r="AR10">
        <v>0.85</v>
      </c>
      <c r="AS10">
        <v>415</v>
      </c>
      <c r="AT10">
        <v>469</v>
      </c>
      <c r="AU10">
        <v>170</v>
      </c>
      <c r="AV10">
        <v>214</v>
      </c>
      <c r="AW10">
        <v>149</v>
      </c>
      <c r="AX10">
        <v>129</v>
      </c>
      <c r="AY10">
        <v>18</v>
      </c>
      <c r="AZ10">
        <v>21</v>
      </c>
      <c r="BA10">
        <v>9</v>
      </c>
      <c r="BB10">
        <v>2</v>
      </c>
      <c r="BC10">
        <v>15</v>
      </c>
      <c r="BD10">
        <v>25</v>
      </c>
      <c r="BE10">
        <v>41</v>
      </c>
      <c r="BF10">
        <v>15</v>
      </c>
      <c r="BG10">
        <v>3</v>
      </c>
      <c r="BH10">
        <v>2</v>
      </c>
      <c r="BI10" t="s">
        <v>90</v>
      </c>
      <c r="BJ10" t="s">
        <v>90</v>
      </c>
      <c r="BK10">
        <v>11</v>
      </c>
      <c r="BL10">
        <v>10</v>
      </c>
      <c r="BM10">
        <v>9</v>
      </c>
      <c r="BN10">
        <v>4</v>
      </c>
      <c r="BO10">
        <v>2</v>
      </c>
      <c r="BP10">
        <v>5</v>
      </c>
      <c r="BQ10">
        <v>28</v>
      </c>
      <c r="BR10">
        <v>21</v>
      </c>
      <c r="BS10">
        <v>4</v>
      </c>
      <c r="BT10">
        <v>10</v>
      </c>
      <c r="BU10" t="s">
        <v>90</v>
      </c>
      <c r="BV10" t="s">
        <v>90</v>
      </c>
      <c r="BW10">
        <v>53</v>
      </c>
      <c r="BX10">
        <v>32</v>
      </c>
      <c r="BY10">
        <v>25</v>
      </c>
      <c r="BZ10">
        <v>16</v>
      </c>
      <c r="CA10">
        <v>28</v>
      </c>
      <c r="CB10">
        <v>16</v>
      </c>
      <c r="CC10">
        <v>9</v>
      </c>
      <c r="CD10">
        <v>2</v>
      </c>
      <c r="CE10" t="s">
        <v>90</v>
      </c>
      <c r="CF10" t="s">
        <v>90</v>
      </c>
      <c r="CG10">
        <v>1</v>
      </c>
      <c r="CH10">
        <v>0</v>
      </c>
      <c r="CI10">
        <v>0</v>
      </c>
      <c r="CJ10">
        <v>1</v>
      </c>
    </row>
    <row r="11" spans="2:88" ht="24.75" customHeight="1" x14ac:dyDescent="0.25">
      <c r="B11" s="3" t="s">
        <v>110</v>
      </c>
      <c r="C11" t="s">
        <v>88</v>
      </c>
      <c r="D11" s="4" t="s">
        <v>94</v>
      </c>
      <c r="E11">
        <v>4</v>
      </c>
      <c r="F11">
        <v>1</v>
      </c>
      <c r="G11">
        <v>58</v>
      </c>
      <c r="H11">
        <f t="shared" si="0"/>
        <v>42</v>
      </c>
      <c r="I11">
        <v>3.47</v>
      </c>
      <c r="J11">
        <v>2.86</v>
      </c>
      <c r="K11">
        <v>22</v>
      </c>
      <c r="L11">
        <v>18</v>
      </c>
      <c r="M11">
        <v>8</v>
      </c>
      <c r="N11">
        <v>5</v>
      </c>
      <c r="O11">
        <v>7</v>
      </c>
      <c r="P11">
        <v>4</v>
      </c>
      <c r="Q11">
        <v>5</v>
      </c>
      <c r="R11">
        <v>3</v>
      </c>
      <c r="S11">
        <v>450</v>
      </c>
      <c r="T11">
        <v>316</v>
      </c>
      <c r="U11">
        <v>5</v>
      </c>
      <c r="V11">
        <v>6</v>
      </c>
      <c r="W11">
        <v>10</v>
      </c>
      <c r="X11">
        <v>8</v>
      </c>
      <c r="Y11" t="s">
        <v>90</v>
      </c>
      <c r="Z11" t="s">
        <v>90</v>
      </c>
      <c r="AA11">
        <v>8</v>
      </c>
      <c r="AB11">
        <v>9</v>
      </c>
      <c r="AC11">
        <v>6</v>
      </c>
      <c r="AD11">
        <v>4</v>
      </c>
      <c r="AE11">
        <v>2</v>
      </c>
      <c r="AF11">
        <v>0</v>
      </c>
      <c r="AG11">
        <v>15</v>
      </c>
      <c r="AH11">
        <v>14</v>
      </c>
      <c r="AI11">
        <v>7</v>
      </c>
      <c r="AJ11">
        <v>4</v>
      </c>
      <c r="AK11">
        <v>2.74</v>
      </c>
      <c r="AL11">
        <v>1.94</v>
      </c>
      <c r="AM11">
        <v>0.74</v>
      </c>
      <c r="AN11">
        <v>0.92</v>
      </c>
      <c r="AO11">
        <v>3.47</v>
      </c>
      <c r="AP11">
        <v>2.86</v>
      </c>
      <c r="AQ11">
        <v>2.65</v>
      </c>
      <c r="AR11">
        <v>2.02</v>
      </c>
      <c r="AS11">
        <v>526</v>
      </c>
      <c r="AT11">
        <v>378</v>
      </c>
      <c r="AU11">
        <v>187</v>
      </c>
      <c r="AV11">
        <v>204</v>
      </c>
      <c r="AW11">
        <v>263</v>
      </c>
      <c r="AX11">
        <v>112</v>
      </c>
      <c r="AY11">
        <v>26</v>
      </c>
      <c r="AZ11">
        <v>23</v>
      </c>
      <c r="BA11">
        <v>9</v>
      </c>
      <c r="BB11">
        <v>2</v>
      </c>
      <c r="BC11">
        <v>25</v>
      </c>
      <c r="BD11">
        <v>12</v>
      </c>
      <c r="BE11">
        <v>38</v>
      </c>
      <c r="BF11">
        <v>23</v>
      </c>
      <c r="BG11">
        <v>1</v>
      </c>
      <c r="BH11">
        <v>0</v>
      </c>
      <c r="BI11" t="s">
        <v>90</v>
      </c>
      <c r="BJ11" t="s">
        <v>90</v>
      </c>
      <c r="BK11">
        <v>12</v>
      </c>
      <c r="BL11">
        <v>8</v>
      </c>
      <c r="BM11">
        <v>7</v>
      </c>
      <c r="BN11">
        <v>10</v>
      </c>
      <c r="BO11">
        <v>5</v>
      </c>
      <c r="BP11">
        <v>6</v>
      </c>
      <c r="BQ11">
        <v>23</v>
      </c>
      <c r="BR11">
        <v>29</v>
      </c>
      <c r="BS11">
        <v>3</v>
      </c>
      <c r="BT11">
        <v>4</v>
      </c>
      <c r="BU11" t="s">
        <v>90</v>
      </c>
      <c r="BV11" t="s">
        <v>90</v>
      </c>
      <c r="BW11">
        <v>42</v>
      </c>
      <c r="BX11">
        <v>37</v>
      </c>
      <c r="BY11">
        <v>21</v>
      </c>
      <c r="BZ11">
        <v>21</v>
      </c>
      <c r="CA11">
        <v>21</v>
      </c>
      <c r="CB11">
        <v>16</v>
      </c>
      <c r="CC11">
        <v>3</v>
      </c>
      <c r="CD11">
        <v>9</v>
      </c>
      <c r="CE11" t="s">
        <v>90</v>
      </c>
      <c r="CF11" t="s">
        <v>90</v>
      </c>
      <c r="CG11">
        <v>1</v>
      </c>
      <c r="CH11">
        <v>3</v>
      </c>
      <c r="CI11">
        <v>0</v>
      </c>
      <c r="CJ11">
        <v>0</v>
      </c>
    </row>
    <row r="12" spans="2:88" ht="25.5" x14ac:dyDescent="0.25">
      <c r="B12" s="3" t="s">
        <v>111</v>
      </c>
      <c r="C12" s="4" t="s">
        <v>93</v>
      </c>
      <c r="D12" t="s">
        <v>100</v>
      </c>
      <c r="E12">
        <v>4</v>
      </c>
      <c r="F12">
        <v>0</v>
      </c>
      <c r="G12">
        <v>64</v>
      </c>
      <c r="H12">
        <f t="shared" si="0"/>
        <v>36</v>
      </c>
      <c r="I12">
        <v>3.11</v>
      </c>
      <c r="J12">
        <v>0.39</v>
      </c>
      <c r="K12">
        <v>21</v>
      </c>
      <c r="L12">
        <v>5</v>
      </c>
      <c r="M12">
        <v>10</v>
      </c>
      <c r="N12">
        <v>0</v>
      </c>
      <c r="O12">
        <v>5</v>
      </c>
      <c r="P12">
        <v>0</v>
      </c>
      <c r="Q12">
        <v>2</v>
      </c>
      <c r="R12">
        <v>0</v>
      </c>
      <c r="S12">
        <v>521</v>
      </c>
      <c r="T12">
        <v>260</v>
      </c>
      <c r="U12">
        <v>11</v>
      </c>
      <c r="V12">
        <v>12</v>
      </c>
      <c r="W12">
        <v>11</v>
      </c>
      <c r="X12">
        <v>1</v>
      </c>
      <c r="Y12" t="s">
        <v>90</v>
      </c>
      <c r="Z12" t="s">
        <v>90</v>
      </c>
      <c r="AA12">
        <v>5</v>
      </c>
      <c r="AB12">
        <v>3</v>
      </c>
      <c r="AC12">
        <v>6</v>
      </c>
      <c r="AD12">
        <v>2</v>
      </c>
      <c r="AE12">
        <v>1</v>
      </c>
      <c r="AF12">
        <v>0</v>
      </c>
      <c r="AG12">
        <v>16</v>
      </c>
      <c r="AH12">
        <v>2</v>
      </c>
      <c r="AI12">
        <v>5</v>
      </c>
      <c r="AJ12">
        <v>3</v>
      </c>
      <c r="AK12">
        <v>2.36</v>
      </c>
      <c r="AL12">
        <v>0.06</v>
      </c>
      <c r="AM12">
        <v>0.75</v>
      </c>
      <c r="AN12">
        <v>0.34</v>
      </c>
      <c r="AO12">
        <v>3.11</v>
      </c>
      <c r="AP12">
        <v>0.39</v>
      </c>
      <c r="AQ12">
        <v>3.43</v>
      </c>
      <c r="AR12">
        <v>0</v>
      </c>
      <c r="AS12">
        <v>579</v>
      </c>
      <c r="AT12">
        <v>324</v>
      </c>
      <c r="AU12">
        <v>243</v>
      </c>
      <c r="AV12">
        <v>147</v>
      </c>
      <c r="AW12">
        <v>278</v>
      </c>
      <c r="AX12">
        <v>113</v>
      </c>
      <c r="AY12">
        <v>32</v>
      </c>
      <c r="AZ12">
        <v>9</v>
      </c>
      <c r="BA12">
        <v>7</v>
      </c>
      <c r="BB12">
        <v>3</v>
      </c>
      <c r="BC12">
        <v>18</v>
      </c>
      <c r="BD12">
        <v>17</v>
      </c>
      <c r="BE12">
        <v>49</v>
      </c>
      <c r="BF12">
        <v>8</v>
      </c>
      <c r="BG12">
        <v>3</v>
      </c>
      <c r="BH12">
        <v>3</v>
      </c>
      <c r="BI12" t="s">
        <v>90</v>
      </c>
      <c r="BJ12" t="s">
        <v>90</v>
      </c>
      <c r="BK12">
        <v>10</v>
      </c>
      <c r="BL12">
        <v>15</v>
      </c>
      <c r="BM12">
        <v>5</v>
      </c>
      <c r="BN12">
        <v>9</v>
      </c>
      <c r="BO12">
        <v>2</v>
      </c>
      <c r="BP12">
        <v>6</v>
      </c>
      <c r="BQ12">
        <v>25</v>
      </c>
      <c r="BR12">
        <v>26</v>
      </c>
      <c r="BS12">
        <v>0</v>
      </c>
      <c r="BT12">
        <v>6</v>
      </c>
      <c r="BU12" t="s">
        <v>90</v>
      </c>
      <c r="BV12" t="s">
        <v>90</v>
      </c>
      <c r="BW12">
        <v>37</v>
      </c>
      <c r="BX12">
        <v>36</v>
      </c>
      <c r="BY12">
        <v>28</v>
      </c>
      <c r="BZ12">
        <v>27</v>
      </c>
      <c r="CA12">
        <v>9</v>
      </c>
      <c r="CB12">
        <v>9</v>
      </c>
      <c r="CC12">
        <v>7</v>
      </c>
      <c r="CD12">
        <v>2</v>
      </c>
      <c r="CE12" t="s">
        <v>90</v>
      </c>
      <c r="CF12" t="s">
        <v>90</v>
      </c>
      <c r="CG12">
        <v>2</v>
      </c>
      <c r="CH12">
        <v>2</v>
      </c>
      <c r="CI12">
        <v>0</v>
      </c>
      <c r="CJ12">
        <v>0</v>
      </c>
    </row>
    <row r="13" spans="2:88" ht="30" x14ac:dyDescent="0.25">
      <c r="B13" s="3" t="s">
        <v>111</v>
      </c>
      <c r="C13" s="4" t="s">
        <v>99</v>
      </c>
      <c r="D13" t="s">
        <v>92</v>
      </c>
      <c r="E13">
        <v>3</v>
      </c>
      <c r="F13">
        <v>4</v>
      </c>
      <c r="G13">
        <v>51</v>
      </c>
      <c r="H13">
        <f t="shared" si="0"/>
        <v>49</v>
      </c>
      <c r="I13">
        <v>2.36</v>
      </c>
      <c r="J13">
        <v>2.31</v>
      </c>
      <c r="K13">
        <v>25</v>
      </c>
      <c r="L13">
        <v>14</v>
      </c>
      <c r="M13">
        <v>6</v>
      </c>
      <c r="N13">
        <v>10</v>
      </c>
      <c r="O13">
        <v>3</v>
      </c>
      <c r="P13">
        <v>5</v>
      </c>
      <c r="Q13">
        <v>1</v>
      </c>
      <c r="R13">
        <v>3</v>
      </c>
      <c r="S13">
        <v>298</v>
      </c>
      <c r="T13">
        <v>302</v>
      </c>
      <c r="U13">
        <v>18</v>
      </c>
      <c r="V13">
        <v>9</v>
      </c>
      <c r="W13">
        <v>13</v>
      </c>
      <c r="X13">
        <v>4</v>
      </c>
      <c r="Y13" t="s">
        <v>90</v>
      </c>
      <c r="Z13" t="s">
        <v>90</v>
      </c>
      <c r="AA13">
        <v>7</v>
      </c>
      <c r="AB13">
        <v>4</v>
      </c>
      <c r="AC13">
        <v>12</v>
      </c>
      <c r="AD13">
        <v>0</v>
      </c>
      <c r="AE13">
        <v>0</v>
      </c>
      <c r="AF13">
        <v>2</v>
      </c>
      <c r="AG13">
        <v>19</v>
      </c>
      <c r="AH13">
        <v>10</v>
      </c>
      <c r="AI13">
        <v>6</v>
      </c>
      <c r="AJ13">
        <v>4</v>
      </c>
      <c r="AK13">
        <v>1.1399999999999999</v>
      </c>
      <c r="AL13">
        <v>2.36</v>
      </c>
      <c r="AM13">
        <v>1.22</v>
      </c>
      <c r="AN13">
        <v>0.05</v>
      </c>
      <c r="AO13">
        <v>2.36</v>
      </c>
      <c r="AP13">
        <v>2.31</v>
      </c>
      <c r="AQ13">
        <v>3.01</v>
      </c>
      <c r="AR13">
        <v>3.62</v>
      </c>
      <c r="AS13">
        <v>366</v>
      </c>
      <c r="AT13">
        <v>363</v>
      </c>
      <c r="AU13">
        <v>141</v>
      </c>
      <c r="AV13">
        <v>191</v>
      </c>
      <c r="AW13">
        <v>157</v>
      </c>
      <c r="AX13">
        <v>111</v>
      </c>
      <c r="AY13">
        <v>23</v>
      </c>
      <c r="AZ13">
        <v>16</v>
      </c>
      <c r="BA13">
        <v>7</v>
      </c>
      <c r="BB13">
        <v>0</v>
      </c>
      <c r="BC13">
        <v>16</v>
      </c>
      <c r="BD13">
        <v>24</v>
      </c>
      <c r="BE13">
        <v>34</v>
      </c>
      <c r="BF13">
        <v>21</v>
      </c>
      <c r="BG13">
        <v>5</v>
      </c>
      <c r="BH13">
        <v>0</v>
      </c>
      <c r="BI13" t="s">
        <v>90</v>
      </c>
      <c r="BJ13" t="s">
        <v>90</v>
      </c>
      <c r="BK13">
        <v>21</v>
      </c>
      <c r="BL13">
        <v>11</v>
      </c>
      <c r="BM13">
        <v>10</v>
      </c>
      <c r="BN13">
        <v>7</v>
      </c>
      <c r="BO13">
        <v>0</v>
      </c>
      <c r="BP13">
        <v>13</v>
      </c>
      <c r="BQ13">
        <v>26</v>
      </c>
      <c r="BR13">
        <v>36</v>
      </c>
      <c r="BS13">
        <v>6</v>
      </c>
      <c r="BT13">
        <v>2</v>
      </c>
      <c r="BU13" t="s">
        <v>90</v>
      </c>
      <c r="BV13" t="s">
        <v>90</v>
      </c>
      <c r="BW13">
        <v>62</v>
      </c>
      <c r="BX13">
        <v>45</v>
      </c>
      <c r="BY13">
        <v>39</v>
      </c>
      <c r="BZ13">
        <v>33</v>
      </c>
      <c r="CA13">
        <v>23</v>
      </c>
      <c r="CB13">
        <v>12</v>
      </c>
      <c r="CC13">
        <v>9</v>
      </c>
      <c r="CD13">
        <v>5</v>
      </c>
      <c r="CE13" t="s">
        <v>90</v>
      </c>
      <c r="CF13" t="s">
        <v>90</v>
      </c>
      <c r="CG13">
        <v>3</v>
      </c>
      <c r="CH13">
        <v>1</v>
      </c>
      <c r="CI13">
        <v>0</v>
      </c>
      <c r="CJ13">
        <v>0</v>
      </c>
    </row>
    <row r="14" spans="2:88" ht="30" x14ac:dyDescent="0.25">
      <c r="B14" s="3" t="s">
        <v>111</v>
      </c>
      <c r="C14" t="s">
        <v>95</v>
      </c>
      <c r="D14" s="4" t="s">
        <v>103</v>
      </c>
      <c r="E14">
        <v>2</v>
      </c>
      <c r="F14">
        <v>3</v>
      </c>
      <c r="G14">
        <v>60</v>
      </c>
      <c r="H14">
        <f t="shared" si="0"/>
        <v>40</v>
      </c>
      <c r="I14">
        <v>1.76</v>
      </c>
      <c r="J14">
        <v>2.04</v>
      </c>
      <c r="K14">
        <v>18</v>
      </c>
      <c r="L14">
        <v>11</v>
      </c>
      <c r="M14">
        <v>6</v>
      </c>
      <c r="N14">
        <v>4</v>
      </c>
      <c r="O14">
        <v>4</v>
      </c>
      <c r="P14">
        <v>4</v>
      </c>
      <c r="Q14">
        <v>3</v>
      </c>
      <c r="R14">
        <v>2</v>
      </c>
      <c r="S14">
        <v>399</v>
      </c>
      <c r="T14">
        <v>253</v>
      </c>
      <c r="U14">
        <v>13</v>
      </c>
      <c r="V14">
        <v>7</v>
      </c>
      <c r="W14">
        <v>10</v>
      </c>
      <c r="X14">
        <v>3</v>
      </c>
      <c r="Y14" t="s">
        <v>90</v>
      </c>
      <c r="Z14" t="s">
        <v>90</v>
      </c>
      <c r="AA14">
        <v>7</v>
      </c>
      <c r="AB14">
        <v>2</v>
      </c>
      <c r="AC14">
        <v>5</v>
      </c>
      <c r="AD14">
        <v>5</v>
      </c>
      <c r="AE14">
        <v>0</v>
      </c>
      <c r="AF14">
        <v>0</v>
      </c>
      <c r="AG14">
        <v>11</v>
      </c>
      <c r="AH14">
        <v>10</v>
      </c>
      <c r="AI14">
        <v>7</v>
      </c>
      <c r="AJ14">
        <v>1</v>
      </c>
      <c r="AK14">
        <v>0.89</v>
      </c>
      <c r="AL14">
        <v>1.87</v>
      </c>
      <c r="AM14">
        <v>0.87</v>
      </c>
      <c r="AN14">
        <v>0.17</v>
      </c>
      <c r="AO14">
        <v>1.76</v>
      </c>
      <c r="AP14">
        <v>2.04</v>
      </c>
      <c r="AQ14">
        <v>1.25</v>
      </c>
      <c r="AR14">
        <v>2.17</v>
      </c>
      <c r="AS14">
        <v>498</v>
      </c>
      <c r="AT14">
        <v>335</v>
      </c>
      <c r="AU14">
        <v>184</v>
      </c>
      <c r="AV14">
        <v>165</v>
      </c>
      <c r="AW14">
        <v>215</v>
      </c>
      <c r="AX14">
        <v>88</v>
      </c>
      <c r="AY14">
        <v>25</v>
      </c>
      <c r="AZ14">
        <v>20</v>
      </c>
      <c r="BA14">
        <v>6</v>
      </c>
      <c r="BB14">
        <v>5</v>
      </c>
      <c r="BC14">
        <v>28</v>
      </c>
      <c r="BD14">
        <v>26</v>
      </c>
      <c r="BE14">
        <v>36</v>
      </c>
      <c r="BF14">
        <v>21</v>
      </c>
      <c r="BG14">
        <v>1</v>
      </c>
      <c r="BH14">
        <v>2</v>
      </c>
      <c r="BI14" t="s">
        <v>90</v>
      </c>
      <c r="BJ14" t="s">
        <v>90</v>
      </c>
      <c r="BK14">
        <v>19</v>
      </c>
      <c r="BL14">
        <v>15</v>
      </c>
      <c r="BM14">
        <v>8</v>
      </c>
      <c r="BN14">
        <v>16</v>
      </c>
      <c r="BO14">
        <v>4</v>
      </c>
      <c r="BP14">
        <v>5</v>
      </c>
      <c r="BQ14">
        <v>21</v>
      </c>
      <c r="BR14">
        <v>60</v>
      </c>
      <c r="BS14">
        <v>2</v>
      </c>
      <c r="BT14">
        <v>4</v>
      </c>
      <c r="BU14" t="s">
        <v>90</v>
      </c>
      <c r="BV14" t="s">
        <v>90</v>
      </c>
      <c r="BW14">
        <v>44</v>
      </c>
      <c r="BX14">
        <v>54</v>
      </c>
      <c r="BY14">
        <v>29</v>
      </c>
      <c r="BZ14">
        <v>34</v>
      </c>
      <c r="CA14">
        <v>15</v>
      </c>
      <c r="CB14">
        <v>20</v>
      </c>
      <c r="CC14">
        <v>4</v>
      </c>
      <c r="CD14">
        <v>6</v>
      </c>
      <c r="CE14" t="s">
        <v>90</v>
      </c>
      <c r="CF14" t="s">
        <v>90</v>
      </c>
      <c r="CG14">
        <v>4</v>
      </c>
      <c r="CH14">
        <v>2</v>
      </c>
      <c r="CI14">
        <v>0</v>
      </c>
      <c r="CJ14">
        <v>0</v>
      </c>
    </row>
    <row r="15" spans="2:88" ht="25.5" x14ac:dyDescent="0.25">
      <c r="B15" s="3" t="s">
        <v>111</v>
      </c>
      <c r="C15" t="s">
        <v>97</v>
      </c>
      <c r="D15" t="s">
        <v>106</v>
      </c>
      <c r="E15">
        <v>0</v>
      </c>
      <c r="F15">
        <v>1</v>
      </c>
      <c r="G15">
        <v>59</v>
      </c>
      <c r="H15">
        <f t="shared" si="0"/>
        <v>41</v>
      </c>
      <c r="I15">
        <v>0.77</v>
      </c>
      <c r="J15">
        <v>1.24</v>
      </c>
      <c r="K15">
        <v>14</v>
      </c>
      <c r="L15">
        <v>16</v>
      </c>
      <c r="M15">
        <v>3</v>
      </c>
      <c r="N15">
        <v>5</v>
      </c>
      <c r="O15">
        <v>0</v>
      </c>
      <c r="P15">
        <v>1</v>
      </c>
      <c r="Q15">
        <v>0</v>
      </c>
      <c r="R15">
        <v>0</v>
      </c>
      <c r="S15">
        <v>443</v>
      </c>
      <c r="T15">
        <v>276</v>
      </c>
      <c r="U15">
        <v>16</v>
      </c>
      <c r="V15">
        <v>10</v>
      </c>
      <c r="W15">
        <v>5</v>
      </c>
      <c r="X15">
        <v>4</v>
      </c>
      <c r="Y15" t="s">
        <v>90</v>
      </c>
      <c r="Z15" t="s">
        <v>90</v>
      </c>
      <c r="AA15">
        <v>6</v>
      </c>
      <c r="AB15">
        <v>3</v>
      </c>
      <c r="AC15">
        <v>5</v>
      </c>
      <c r="AD15">
        <v>8</v>
      </c>
      <c r="AE15">
        <v>0</v>
      </c>
      <c r="AF15">
        <v>0</v>
      </c>
      <c r="AG15">
        <v>6</v>
      </c>
      <c r="AH15">
        <v>9</v>
      </c>
      <c r="AI15">
        <v>8</v>
      </c>
      <c r="AJ15">
        <v>7</v>
      </c>
      <c r="AK15">
        <v>0.62</v>
      </c>
      <c r="AL15">
        <v>1.17</v>
      </c>
      <c r="AM15">
        <v>0.15</v>
      </c>
      <c r="AN15">
        <v>7.0000000000000007E-2</v>
      </c>
      <c r="AO15">
        <v>0.77</v>
      </c>
      <c r="AP15">
        <v>1.24</v>
      </c>
      <c r="AQ15">
        <v>0.61</v>
      </c>
      <c r="AR15">
        <v>2.1800000000000002</v>
      </c>
      <c r="AS15">
        <v>538</v>
      </c>
      <c r="AT15">
        <v>366</v>
      </c>
      <c r="AU15">
        <v>299</v>
      </c>
      <c r="AV15">
        <v>156</v>
      </c>
      <c r="AW15">
        <v>144</v>
      </c>
      <c r="AX15">
        <v>120</v>
      </c>
      <c r="AY15">
        <v>23</v>
      </c>
      <c r="AZ15">
        <v>28</v>
      </c>
      <c r="BA15">
        <v>2</v>
      </c>
      <c r="BB15">
        <v>6</v>
      </c>
      <c r="BC15">
        <v>13</v>
      </c>
      <c r="BD15">
        <v>17</v>
      </c>
      <c r="BE15">
        <v>25</v>
      </c>
      <c r="BF15">
        <v>23</v>
      </c>
      <c r="BG15">
        <v>1</v>
      </c>
      <c r="BH15">
        <v>1</v>
      </c>
      <c r="BI15" t="s">
        <v>90</v>
      </c>
      <c r="BJ15" t="s">
        <v>90</v>
      </c>
      <c r="BK15">
        <v>16</v>
      </c>
      <c r="BL15">
        <v>19</v>
      </c>
      <c r="BM15">
        <v>11</v>
      </c>
      <c r="BN15">
        <v>12</v>
      </c>
      <c r="BO15">
        <v>7</v>
      </c>
      <c r="BP15">
        <v>5</v>
      </c>
      <c r="BQ15">
        <v>30</v>
      </c>
      <c r="BR15">
        <v>33</v>
      </c>
      <c r="BS15">
        <v>4</v>
      </c>
      <c r="BT15">
        <v>3</v>
      </c>
      <c r="BU15" t="s">
        <v>90</v>
      </c>
      <c r="BV15" t="s">
        <v>90</v>
      </c>
      <c r="BW15">
        <v>53</v>
      </c>
      <c r="BX15">
        <v>65</v>
      </c>
      <c r="BY15">
        <v>32</v>
      </c>
      <c r="BZ15">
        <v>41</v>
      </c>
      <c r="CA15">
        <v>21</v>
      </c>
      <c r="CB15">
        <v>24</v>
      </c>
      <c r="CC15">
        <v>7</v>
      </c>
      <c r="CD15">
        <v>8</v>
      </c>
      <c r="CE15" t="s">
        <v>90</v>
      </c>
      <c r="CF15" t="s">
        <v>90</v>
      </c>
      <c r="CG15">
        <v>3</v>
      </c>
      <c r="CH15">
        <v>3</v>
      </c>
      <c r="CI15">
        <v>0</v>
      </c>
      <c r="CJ15">
        <v>0</v>
      </c>
    </row>
    <row r="16" spans="2:88" ht="25.5" x14ac:dyDescent="0.25">
      <c r="B16" s="3" t="s">
        <v>111</v>
      </c>
      <c r="C16" t="s">
        <v>107</v>
      </c>
      <c r="D16" t="s">
        <v>98</v>
      </c>
      <c r="E16">
        <v>3</v>
      </c>
      <c r="F16">
        <v>1</v>
      </c>
      <c r="G16">
        <v>29</v>
      </c>
      <c r="H16">
        <f t="shared" si="0"/>
        <v>71</v>
      </c>
      <c r="I16">
        <v>0.95</v>
      </c>
      <c r="J16">
        <v>1.5</v>
      </c>
      <c r="K16">
        <v>12</v>
      </c>
      <c r="L16">
        <v>19</v>
      </c>
      <c r="M16">
        <v>7</v>
      </c>
      <c r="N16">
        <v>5</v>
      </c>
      <c r="O16">
        <v>1</v>
      </c>
      <c r="P16">
        <v>2</v>
      </c>
      <c r="Q16">
        <v>0</v>
      </c>
      <c r="R16">
        <v>1</v>
      </c>
      <c r="S16">
        <v>208</v>
      </c>
      <c r="T16">
        <v>612</v>
      </c>
      <c r="U16">
        <v>13</v>
      </c>
      <c r="V16">
        <v>8</v>
      </c>
      <c r="W16">
        <v>2</v>
      </c>
      <c r="X16">
        <v>7</v>
      </c>
      <c r="Y16" t="s">
        <v>90</v>
      </c>
      <c r="Z16" t="s">
        <v>90</v>
      </c>
      <c r="AA16">
        <v>3</v>
      </c>
      <c r="AB16">
        <v>7</v>
      </c>
      <c r="AC16">
        <v>2</v>
      </c>
      <c r="AD16">
        <v>7</v>
      </c>
      <c r="AE16">
        <v>1</v>
      </c>
      <c r="AF16">
        <v>1</v>
      </c>
      <c r="AG16">
        <v>5</v>
      </c>
      <c r="AH16">
        <v>7</v>
      </c>
      <c r="AI16">
        <v>7</v>
      </c>
      <c r="AJ16">
        <v>5</v>
      </c>
      <c r="AK16">
        <v>0.88</v>
      </c>
      <c r="AL16">
        <v>1.06</v>
      </c>
      <c r="AM16">
        <v>7.0000000000000007E-2</v>
      </c>
      <c r="AN16">
        <v>0.44</v>
      </c>
      <c r="AO16">
        <v>0.95</v>
      </c>
      <c r="AP16">
        <v>1.5</v>
      </c>
      <c r="AQ16">
        <v>1.73</v>
      </c>
      <c r="AR16">
        <v>0.74</v>
      </c>
      <c r="AS16">
        <v>287</v>
      </c>
      <c r="AT16">
        <v>691</v>
      </c>
      <c r="AU16">
        <v>130</v>
      </c>
      <c r="AV16">
        <v>180</v>
      </c>
      <c r="AW16">
        <v>78</v>
      </c>
      <c r="AX16">
        <v>432</v>
      </c>
      <c r="AY16">
        <v>22</v>
      </c>
      <c r="AZ16">
        <v>14</v>
      </c>
      <c r="BA16">
        <v>1</v>
      </c>
      <c r="BB16">
        <v>7</v>
      </c>
      <c r="BC16">
        <v>14</v>
      </c>
      <c r="BD16">
        <v>35</v>
      </c>
      <c r="BE16">
        <v>13</v>
      </c>
      <c r="BF16">
        <v>39</v>
      </c>
      <c r="BG16">
        <v>4</v>
      </c>
      <c r="BH16">
        <v>1</v>
      </c>
      <c r="BI16" t="s">
        <v>90</v>
      </c>
      <c r="BJ16" t="s">
        <v>90</v>
      </c>
      <c r="BK16">
        <v>37</v>
      </c>
      <c r="BL16">
        <v>8</v>
      </c>
      <c r="BM16">
        <v>18</v>
      </c>
      <c r="BN16">
        <v>6</v>
      </c>
      <c r="BO16">
        <v>8</v>
      </c>
      <c r="BP16">
        <v>2</v>
      </c>
      <c r="BQ16">
        <v>33</v>
      </c>
      <c r="BR16">
        <v>20</v>
      </c>
      <c r="BS16">
        <v>3</v>
      </c>
      <c r="BT16">
        <v>4</v>
      </c>
      <c r="BU16" t="s">
        <v>90</v>
      </c>
      <c r="BV16" t="s">
        <v>90</v>
      </c>
      <c r="BW16">
        <v>57</v>
      </c>
      <c r="BX16">
        <v>45</v>
      </c>
      <c r="BY16">
        <v>49</v>
      </c>
      <c r="BZ16">
        <v>32</v>
      </c>
      <c r="CA16">
        <v>8</v>
      </c>
      <c r="CB16">
        <v>13</v>
      </c>
      <c r="CC16">
        <v>4</v>
      </c>
      <c r="CD16">
        <v>11</v>
      </c>
      <c r="CE16" t="s">
        <v>90</v>
      </c>
      <c r="CF16" t="s">
        <v>90</v>
      </c>
      <c r="CG16">
        <v>1</v>
      </c>
      <c r="CH16">
        <v>0</v>
      </c>
      <c r="CI16">
        <v>0</v>
      </c>
      <c r="CJ16">
        <v>0</v>
      </c>
    </row>
    <row r="17" spans="2:88" ht="25.5" x14ac:dyDescent="0.25">
      <c r="B17" s="3" t="s">
        <v>112</v>
      </c>
      <c r="C17" t="s">
        <v>109</v>
      </c>
      <c r="D17" s="2" t="s">
        <v>87</v>
      </c>
      <c r="E17">
        <v>0</v>
      </c>
      <c r="F17">
        <v>0</v>
      </c>
      <c r="G17">
        <v>17</v>
      </c>
      <c r="H17">
        <f t="shared" si="0"/>
        <v>83</v>
      </c>
      <c r="I17">
        <v>0.21</v>
      </c>
      <c r="J17">
        <v>1.94</v>
      </c>
      <c r="K17">
        <v>4</v>
      </c>
      <c r="L17">
        <v>15</v>
      </c>
      <c r="M17">
        <v>1</v>
      </c>
      <c r="N17">
        <v>5</v>
      </c>
      <c r="O17">
        <v>0</v>
      </c>
      <c r="P17">
        <v>6</v>
      </c>
      <c r="Q17">
        <v>0</v>
      </c>
      <c r="R17">
        <v>6</v>
      </c>
      <c r="S17">
        <v>108</v>
      </c>
      <c r="T17">
        <v>838</v>
      </c>
      <c r="U17">
        <v>5</v>
      </c>
      <c r="V17">
        <v>12</v>
      </c>
      <c r="W17">
        <v>0</v>
      </c>
      <c r="X17">
        <v>11</v>
      </c>
      <c r="Y17" t="s">
        <v>90</v>
      </c>
      <c r="Z17" t="s">
        <v>90</v>
      </c>
      <c r="AA17">
        <v>3</v>
      </c>
      <c r="AB17">
        <v>6</v>
      </c>
      <c r="AC17">
        <v>0</v>
      </c>
      <c r="AD17">
        <v>4</v>
      </c>
      <c r="AE17">
        <v>0</v>
      </c>
      <c r="AF17">
        <v>0</v>
      </c>
      <c r="AG17">
        <v>3</v>
      </c>
      <c r="AH17">
        <v>10</v>
      </c>
      <c r="AI17">
        <v>1</v>
      </c>
      <c r="AJ17">
        <v>5</v>
      </c>
      <c r="AK17">
        <v>0.13</v>
      </c>
      <c r="AL17">
        <v>1.56</v>
      </c>
      <c r="AM17">
        <v>0.08</v>
      </c>
      <c r="AN17">
        <v>0.38</v>
      </c>
      <c r="AO17">
        <v>0.21</v>
      </c>
      <c r="AP17">
        <v>1.94</v>
      </c>
      <c r="AQ17">
        <v>0.38</v>
      </c>
      <c r="AR17">
        <v>1.07</v>
      </c>
      <c r="AS17">
        <v>182</v>
      </c>
      <c r="AT17">
        <v>911</v>
      </c>
      <c r="AU17">
        <v>70</v>
      </c>
      <c r="AV17">
        <v>175</v>
      </c>
      <c r="AW17">
        <v>38</v>
      </c>
      <c r="AX17">
        <v>663</v>
      </c>
      <c r="AY17">
        <v>8</v>
      </c>
      <c r="AZ17">
        <v>38</v>
      </c>
      <c r="BA17">
        <v>4</v>
      </c>
      <c r="BB17">
        <v>7</v>
      </c>
      <c r="BC17">
        <v>12</v>
      </c>
      <c r="BD17">
        <v>27</v>
      </c>
      <c r="BE17">
        <v>10</v>
      </c>
      <c r="BF17">
        <v>52</v>
      </c>
      <c r="BG17">
        <v>0</v>
      </c>
      <c r="BH17">
        <v>1</v>
      </c>
      <c r="BI17" t="s">
        <v>90</v>
      </c>
      <c r="BJ17" t="s">
        <v>90</v>
      </c>
      <c r="BK17">
        <v>40</v>
      </c>
      <c r="BL17">
        <v>17</v>
      </c>
      <c r="BM17">
        <v>17</v>
      </c>
      <c r="BN17">
        <v>3</v>
      </c>
      <c r="BO17">
        <v>5</v>
      </c>
      <c r="BP17">
        <v>0</v>
      </c>
      <c r="BQ17">
        <v>48</v>
      </c>
      <c r="BR17">
        <v>10</v>
      </c>
      <c r="BS17">
        <v>5</v>
      </c>
      <c r="BT17">
        <v>1</v>
      </c>
      <c r="BU17" t="s">
        <v>90</v>
      </c>
      <c r="BV17" t="s">
        <v>90</v>
      </c>
      <c r="BW17">
        <v>65</v>
      </c>
      <c r="BX17">
        <v>53</v>
      </c>
      <c r="BY17">
        <v>60</v>
      </c>
      <c r="BZ17">
        <v>40</v>
      </c>
      <c r="CA17">
        <v>5</v>
      </c>
      <c r="CB17">
        <v>13</v>
      </c>
      <c r="CC17">
        <v>8</v>
      </c>
      <c r="CD17">
        <v>18</v>
      </c>
      <c r="CE17" t="s">
        <v>90</v>
      </c>
      <c r="CF17" t="s">
        <v>90</v>
      </c>
      <c r="CG17">
        <v>2</v>
      </c>
      <c r="CH17">
        <v>2</v>
      </c>
      <c r="CI17">
        <v>0</v>
      </c>
      <c r="CJ17">
        <v>0</v>
      </c>
    </row>
    <row r="18" spans="2:88" ht="25.5" x14ac:dyDescent="0.25">
      <c r="B18" s="3" t="s">
        <v>113</v>
      </c>
      <c r="C18" s="4" t="s">
        <v>104</v>
      </c>
      <c r="D18" t="s">
        <v>96</v>
      </c>
      <c r="E18">
        <v>0</v>
      </c>
      <c r="F18">
        <v>5</v>
      </c>
      <c r="G18">
        <v>55</v>
      </c>
      <c r="H18">
        <f t="shared" si="0"/>
        <v>45</v>
      </c>
      <c r="I18">
        <v>0.19</v>
      </c>
      <c r="J18">
        <v>2.77</v>
      </c>
      <c r="K18">
        <v>8</v>
      </c>
      <c r="L18">
        <v>17</v>
      </c>
      <c r="M18">
        <v>1</v>
      </c>
      <c r="N18">
        <v>8</v>
      </c>
      <c r="O18">
        <v>0</v>
      </c>
      <c r="P18">
        <v>5</v>
      </c>
      <c r="Q18">
        <v>0</v>
      </c>
      <c r="R18">
        <v>1</v>
      </c>
      <c r="S18">
        <v>347</v>
      </c>
      <c r="T18">
        <v>269</v>
      </c>
      <c r="U18">
        <v>14</v>
      </c>
      <c r="V18">
        <v>19</v>
      </c>
      <c r="W18">
        <v>4</v>
      </c>
      <c r="X18">
        <v>5</v>
      </c>
      <c r="Y18" t="s">
        <v>90</v>
      </c>
      <c r="Z18" t="s">
        <v>90</v>
      </c>
      <c r="AA18">
        <v>2</v>
      </c>
      <c r="AB18">
        <v>7</v>
      </c>
      <c r="AC18">
        <v>5</v>
      </c>
      <c r="AD18">
        <v>2</v>
      </c>
      <c r="AE18">
        <v>0</v>
      </c>
      <c r="AF18">
        <v>0</v>
      </c>
      <c r="AG18">
        <v>3</v>
      </c>
      <c r="AH18">
        <v>14</v>
      </c>
      <c r="AI18">
        <v>5</v>
      </c>
      <c r="AJ18">
        <v>3</v>
      </c>
      <c r="AK18">
        <v>0.11</v>
      </c>
      <c r="AL18">
        <v>2.58</v>
      </c>
      <c r="AM18">
        <v>0.08</v>
      </c>
      <c r="AN18">
        <v>0.2</v>
      </c>
      <c r="AO18">
        <v>0.19</v>
      </c>
      <c r="AP18">
        <v>2.77</v>
      </c>
      <c r="AQ18">
        <v>0.05</v>
      </c>
      <c r="AR18">
        <v>2.96</v>
      </c>
      <c r="AS18">
        <v>421</v>
      </c>
      <c r="AT18">
        <v>350</v>
      </c>
      <c r="AU18">
        <v>201</v>
      </c>
      <c r="AV18">
        <v>124</v>
      </c>
      <c r="AW18">
        <v>146</v>
      </c>
      <c r="AX18">
        <v>145</v>
      </c>
      <c r="AY18">
        <v>21</v>
      </c>
      <c r="AZ18">
        <v>24</v>
      </c>
      <c r="BA18">
        <v>3</v>
      </c>
      <c r="BB18">
        <v>4</v>
      </c>
      <c r="BC18">
        <v>16</v>
      </c>
      <c r="BD18">
        <v>18</v>
      </c>
      <c r="BE18">
        <v>13</v>
      </c>
      <c r="BF18">
        <v>45</v>
      </c>
      <c r="BG18">
        <v>2</v>
      </c>
      <c r="BH18">
        <v>1</v>
      </c>
      <c r="BI18" t="s">
        <v>90</v>
      </c>
      <c r="BJ18" t="s">
        <v>90</v>
      </c>
      <c r="BK18">
        <v>14</v>
      </c>
      <c r="BL18">
        <v>12</v>
      </c>
      <c r="BM18">
        <v>8</v>
      </c>
      <c r="BN18">
        <v>12</v>
      </c>
      <c r="BO18">
        <v>2</v>
      </c>
      <c r="BP18">
        <v>4</v>
      </c>
      <c r="BQ18">
        <v>25</v>
      </c>
      <c r="BR18">
        <v>22</v>
      </c>
      <c r="BS18">
        <v>3</v>
      </c>
      <c r="BT18">
        <v>1</v>
      </c>
      <c r="BU18" t="s">
        <v>90</v>
      </c>
      <c r="BV18" t="s">
        <v>90</v>
      </c>
      <c r="BW18">
        <v>49</v>
      </c>
      <c r="BX18">
        <v>60</v>
      </c>
      <c r="BY18">
        <v>34</v>
      </c>
      <c r="BZ18">
        <v>37</v>
      </c>
      <c r="CA18">
        <v>15</v>
      </c>
      <c r="CB18">
        <v>23</v>
      </c>
      <c r="CC18">
        <v>1</v>
      </c>
      <c r="CD18">
        <v>12</v>
      </c>
      <c r="CE18" t="s">
        <v>90</v>
      </c>
      <c r="CF18" t="s">
        <v>90</v>
      </c>
      <c r="CG18">
        <v>1</v>
      </c>
      <c r="CH18">
        <v>3</v>
      </c>
      <c r="CI18">
        <v>0</v>
      </c>
      <c r="CJ18">
        <v>0</v>
      </c>
    </row>
    <row r="19" spans="2:88" ht="25.5" x14ac:dyDescent="0.25">
      <c r="B19" s="3" t="s">
        <v>114</v>
      </c>
      <c r="C19" t="s">
        <v>101</v>
      </c>
      <c r="D19" t="s">
        <v>108</v>
      </c>
      <c r="E19">
        <v>1</v>
      </c>
      <c r="F19">
        <v>4</v>
      </c>
      <c r="G19">
        <v>60</v>
      </c>
      <c r="H19">
        <f t="shared" si="0"/>
        <v>40</v>
      </c>
      <c r="I19">
        <v>2.2200000000000002</v>
      </c>
      <c r="J19">
        <v>1.1299999999999999</v>
      </c>
      <c r="K19">
        <v>22</v>
      </c>
      <c r="L19">
        <v>17</v>
      </c>
      <c r="M19">
        <v>8</v>
      </c>
      <c r="N19">
        <v>7</v>
      </c>
      <c r="O19">
        <v>4</v>
      </c>
      <c r="P19">
        <v>1</v>
      </c>
      <c r="Q19">
        <v>3</v>
      </c>
      <c r="R19">
        <v>0</v>
      </c>
      <c r="S19">
        <v>465</v>
      </c>
      <c r="T19">
        <v>280</v>
      </c>
      <c r="U19">
        <v>10</v>
      </c>
      <c r="V19">
        <v>13</v>
      </c>
      <c r="W19">
        <v>9</v>
      </c>
      <c r="X19">
        <v>4</v>
      </c>
      <c r="Y19" t="s">
        <v>90</v>
      </c>
      <c r="Z19" t="s">
        <v>90</v>
      </c>
      <c r="AA19">
        <v>8</v>
      </c>
      <c r="AB19">
        <v>5</v>
      </c>
      <c r="AC19">
        <v>6</v>
      </c>
      <c r="AD19">
        <v>5</v>
      </c>
      <c r="AE19">
        <v>0</v>
      </c>
      <c r="AF19">
        <v>0</v>
      </c>
      <c r="AG19">
        <v>17</v>
      </c>
      <c r="AH19">
        <v>9</v>
      </c>
      <c r="AI19">
        <v>5</v>
      </c>
      <c r="AJ19">
        <v>8</v>
      </c>
      <c r="AK19">
        <v>1.85</v>
      </c>
      <c r="AL19">
        <v>0.9</v>
      </c>
      <c r="AM19">
        <v>0.37</v>
      </c>
      <c r="AN19">
        <v>0.24</v>
      </c>
      <c r="AO19">
        <v>2.2200000000000002</v>
      </c>
      <c r="AP19">
        <v>1.1299999999999999</v>
      </c>
      <c r="AQ19">
        <v>3.34</v>
      </c>
      <c r="AR19">
        <v>2.81</v>
      </c>
      <c r="AS19">
        <v>553</v>
      </c>
      <c r="AT19">
        <v>365</v>
      </c>
      <c r="AU19">
        <v>192</v>
      </c>
      <c r="AV19">
        <v>162</v>
      </c>
      <c r="AW19">
        <v>273</v>
      </c>
      <c r="AX19">
        <v>118</v>
      </c>
      <c r="AY19">
        <v>26</v>
      </c>
      <c r="AZ19">
        <v>26</v>
      </c>
      <c r="BA19">
        <v>7</v>
      </c>
      <c r="BB19">
        <v>5</v>
      </c>
      <c r="BC19">
        <v>18</v>
      </c>
      <c r="BD19">
        <v>11</v>
      </c>
      <c r="BE19">
        <v>38</v>
      </c>
      <c r="BF19">
        <v>18</v>
      </c>
      <c r="BG19">
        <v>3</v>
      </c>
      <c r="BH19">
        <v>0</v>
      </c>
      <c r="BI19" t="s">
        <v>90</v>
      </c>
      <c r="BJ19" t="s">
        <v>90</v>
      </c>
      <c r="BK19">
        <v>12</v>
      </c>
      <c r="BL19">
        <v>25</v>
      </c>
      <c r="BM19">
        <v>15</v>
      </c>
      <c r="BN19">
        <v>15</v>
      </c>
      <c r="BO19">
        <v>5</v>
      </c>
      <c r="BP19">
        <v>6</v>
      </c>
      <c r="BQ19">
        <v>26</v>
      </c>
      <c r="BR19">
        <v>38</v>
      </c>
      <c r="BS19">
        <v>4</v>
      </c>
      <c r="BT19">
        <v>7</v>
      </c>
      <c r="BU19" t="s">
        <v>90</v>
      </c>
      <c r="BV19" t="s">
        <v>90</v>
      </c>
      <c r="BW19">
        <v>44</v>
      </c>
      <c r="BX19">
        <v>57</v>
      </c>
      <c r="BY19">
        <v>29</v>
      </c>
      <c r="BZ19">
        <v>41</v>
      </c>
      <c r="CA19">
        <v>15</v>
      </c>
      <c r="CB19">
        <v>16</v>
      </c>
      <c r="CC19">
        <v>5</v>
      </c>
      <c r="CD19">
        <v>6</v>
      </c>
      <c r="CE19" t="s">
        <v>90</v>
      </c>
      <c r="CF19" t="s">
        <v>90</v>
      </c>
      <c r="CG19">
        <v>1</v>
      </c>
      <c r="CH19">
        <v>1</v>
      </c>
      <c r="CI19">
        <v>0</v>
      </c>
      <c r="CJ19">
        <v>0</v>
      </c>
    </row>
    <row r="20" spans="2:88" ht="25.5" x14ac:dyDescent="0.25">
      <c r="B20" s="3" t="s">
        <v>115</v>
      </c>
      <c r="C20" t="s">
        <v>100</v>
      </c>
      <c r="D20" t="s">
        <v>109</v>
      </c>
      <c r="E20">
        <v>1</v>
      </c>
      <c r="F20">
        <v>3</v>
      </c>
      <c r="G20">
        <v>66</v>
      </c>
      <c r="H20">
        <f t="shared" si="0"/>
        <v>34</v>
      </c>
      <c r="I20">
        <v>1.95</v>
      </c>
      <c r="J20">
        <v>2.52</v>
      </c>
      <c r="K20">
        <v>20</v>
      </c>
      <c r="L20">
        <v>19</v>
      </c>
      <c r="M20">
        <v>8</v>
      </c>
      <c r="N20">
        <v>10</v>
      </c>
      <c r="O20">
        <v>4</v>
      </c>
      <c r="P20">
        <v>6</v>
      </c>
      <c r="Q20">
        <v>3</v>
      </c>
      <c r="R20">
        <v>3</v>
      </c>
      <c r="S20">
        <v>378</v>
      </c>
      <c r="T20">
        <v>152</v>
      </c>
      <c r="U20">
        <v>11</v>
      </c>
      <c r="V20">
        <v>10</v>
      </c>
      <c r="W20">
        <v>4</v>
      </c>
      <c r="X20">
        <v>5</v>
      </c>
      <c r="Y20" t="s">
        <v>90</v>
      </c>
      <c r="Z20" t="s">
        <v>90</v>
      </c>
      <c r="AA20">
        <v>5</v>
      </c>
      <c r="AB20">
        <v>6</v>
      </c>
      <c r="AC20">
        <v>7</v>
      </c>
      <c r="AD20">
        <v>3</v>
      </c>
      <c r="AE20">
        <v>1</v>
      </c>
      <c r="AF20">
        <v>0</v>
      </c>
      <c r="AG20">
        <v>17</v>
      </c>
      <c r="AH20">
        <v>11</v>
      </c>
      <c r="AI20">
        <v>3</v>
      </c>
      <c r="AJ20">
        <v>8</v>
      </c>
      <c r="AK20">
        <v>0.87</v>
      </c>
      <c r="AL20">
        <v>2.0699999999999998</v>
      </c>
      <c r="AM20">
        <v>1.08</v>
      </c>
      <c r="AN20">
        <v>0.45</v>
      </c>
      <c r="AO20">
        <v>1.95</v>
      </c>
      <c r="AP20">
        <v>2.52</v>
      </c>
      <c r="AQ20">
        <v>1.58</v>
      </c>
      <c r="AR20">
        <v>2.93</v>
      </c>
      <c r="AS20">
        <v>505</v>
      </c>
      <c r="AT20">
        <v>265</v>
      </c>
      <c r="AU20">
        <v>193</v>
      </c>
      <c r="AV20">
        <v>58</v>
      </c>
      <c r="AW20">
        <v>185</v>
      </c>
      <c r="AX20">
        <v>94</v>
      </c>
      <c r="AY20">
        <v>28</v>
      </c>
      <c r="AZ20">
        <v>15</v>
      </c>
      <c r="BA20">
        <v>5</v>
      </c>
      <c r="BB20">
        <v>1</v>
      </c>
      <c r="BC20">
        <v>34</v>
      </c>
      <c r="BD20">
        <v>29</v>
      </c>
      <c r="BE20">
        <v>41</v>
      </c>
      <c r="BF20">
        <v>23</v>
      </c>
      <c r="BG20">
        <v>3</v>
      </c>
      <c r="BH20">
        <v>3</v>
      </c>
      <c r="BI20" t="s">
        <v>90</v>
      </c>
      <c r="BJ20" t="s">
        <v>90</v>
      </c>
      <c r="BK20">
        <v>13</v>
      </c>
      <c r="BL20">
        <v>19</v>
      </c>
      <c r="BM20">
        <v>5</v>
      </c>
      <c r="BN20">
        <v>6</v>
      </c>
      <c r="BO20">
        <v>4</v>
      </c>
      <c r="BP20">
        <v>7</v>
      </c>
      <c r="BQ20">
        <v>29</v>
      </c>
      <c r="BR20">
        <v>74</v>
      </c>
      <c r="BS20">
        <v>6</v>
      </c>
      <c r="BT20">
        <v>7</v>
      </c>
      <c r="BU20" t="s">
        <v>90</v>
      </c>
      <c r="BV20" t="s">
        <v>90</v>
      </c>
      <c r="BW20">
        <v>67</v>
      </c>
      <c r="BX20">
        <v>67</v>
      </c>
      <c r="BY20">
        <v>31</v>
      </c>
      <c r="BZ20">
        <v>31</v>
      </c>
      <c r="CA20">
        <v>36</v>
      </c>
      <c r="CB20">
        <v>36</v>
      </c>
      <c r="CC20">
        <v>10</v>
      </c>
      <c r="CD20">
        <v>2</v>
      </c>
      <c r="CE20" t="s">
        <v>90</v>
      </c>
      <c r="CF20" t="s">
        <v>90</v>
      </c>
      <c r="CG20">
        <v>3</v>
      </c>
      <c r="CH20">
        <v>1</v>
      </c>
      <c r="CI20">
        <v>0</v>
      </c>
      <c r="CJ20">
        <v>0</v>
      </c>
    </row>
    <row r="21" spans="2:88" ht="25.5" x14ac:dyDescent="0.25">
      <c r="B21" s="3" t="s">
        <v>116</v>
      </c>
      <c r="C21" t="s">
        <v>108</v>
      </c>
      <c r="D21" s="4" t="s">
        <v>93</v>
      </c>
      <c r="E21">
        <v>2</v>
      </c>
      <c r="F21">
        <v>2</v>
      </c>
      <c r="G21">
        <v>37</v>
      </c>
      <c r="H21">
        <f t="shared" si="0"/>
        <v>63</v>
      </c>
      <c r="I21">
        <v>1.1100000000000001</v>
      </c>
      <c r="J21">
        <v>2.64</v>
      </c>
      <c r="K21">
        <v>8</v>
      </c>
      <c r="L21">
        <v>30</v>
      </c>
      <c r="M21">
        <v>5</v>
      </c>
      <c r="N21">
        <v>5</v>
      </c>
      <c r="O21">
        <v>1</v>
      </c>
      <c r="P21">
        <v>1</v>
      </c>
      <c r="Q21">
        <v>0</v>
      </c>
      <c r="R21">
        <v>1</v>
      </c>
      <c r="S21">
        <v>278</v>
      </c>
      <c r="T21">
        <v>524</v>
      </c>
      <c r="U21">
        <v>6</v>
      </c>
      <c r="V21">
        <v>12</v>
      </c>
      <c r="W21">
        <v>2</v>
      </c>
      <c r="X21">
        <v>14</v>
      </c>
      <c r="Y21" t="s">
        <v>90</v>
      </c>
      <c r="Z21" t="s">
        <v>90</v>
      </c>
      <c r="AA21">
        <v>2</v>
      </c>
      <c r="AB21">
        <v>13</v>
      </c>
      <c r="AC21">
        <v>1</v>
      </c>
      <c r="AD21">
        <v>12</v>
      </c>
      <c r="AE21">
        <v>0</v>
      </c>
      <c r="AF21">
        <v>0</v>
      </c>
      <c r="AG21">
        <v>5</v>
      </c>
      <c r="AH21">
        <v>21</v>
      </c>
      <c r="AI21">
        <v>3</v>
      </c>
      <c r="AJ21">
        <v>9</v>
      </c>
      <c r="AK21">
        <v>1</v>
      </c>
      <c r="AL21">
        <v>1.49</v>
      </c>
      <c r="AM21">
        <v>0.11</v>
      </c>
      <c r="AN21">
        <v>1.1499999999999999</v>
      </c>
      <c r="AO21">
        <v>1.1100000000000001</v>
      </c>
      <c r="AP21">
        <v>2.64</v>
      </c>
      <c r="AQ21">
        <v>1.38</v>
      </c>
      <c r="AR21">
        <v>1.63</v>
      </c>
      <c r="AS21">
        <v>351</v>
      </c>
      <c r="AT21">
        <v>593</v>
      </c>
      <c r="AU21">
        <v>175</v>
      </c>
      <c r="AV21">
        <v>195</v>
      </c>
      <c r="AW21">
        <v>103</v>
      </c>
      <c r="AX21">
        <v>329</v>
      </c>
      <c r="AY21">
        <v>18</v>
      </c>
      <c r="AZ21">
        <v>19</v>
      </c>
      <c r="BA21">
        <v>4</v>
      </c>
      <c r="BB21">
        <v>10</v>
      </c>
      <c r="BC21">
        <v>12</v>
      </c>
      <c r="BD21">
        <v>16</v>
      </c>
      <c r="BE21">
        <v>9</v>
      </c>
      <c r="BF21">
        <v>54</v>
      </c>
      <c r="BG21">
        <v>0</v>
      </c>
      <c r="BH21">
        <v>1</v>
      </c>
      <c r="BI21" t="s">
        <v>90</v>
      </c>
      <c r="BJ21" t="s">
        <v>90</v>
      </c>
      <c r="BK21">
        <v>14</v>
      </c>
      <c r="BL21">
        <v>10</v>
      </c>
      <c r="BM21">
        <v>13</v>
      </c>
      <c r="BN21">
        <v>9</v>
      </c>
      <c r="BO21">
        <v>12</v>
      </c>
      <c r="BP21">
        <v>1</v>
      </c>
      <c r="BQ21">
        <v>38</v>
      </c>
      <c r="BR21">
        <v>14</v>
      </c>
      <c r="BS21">
        <v>3</v>
      </c>
      <c r="BT21">
        <v>3</v>
      </c>
      <c r="BU21" t="s">
        <v>90</v>
      </c>
      <c r="BV21" t="s">
        <v>90</v>
      </c>
      <c r="BW21">
        <v>46</v>
      </c>
      <c r="BX21">
        <v>29</v>
      </c>
      <c r="BY21">
        <v>30</v>
      </c>
      <c r="BZ21">
        <v>22</v>
      </c>
      <c r="CA21">
        <v>16</v>
      </c>
      <c r="CB21">
        <v>7</v>
      </c>
      <c r="CC21">
        <v>4</v>
      </c>
      <c r="CD21">
        <v>6</v>
      </c>
      <c r="CE21" t="s">
        <v>90</v>
      </c>
      <c r="CF21" t="s">
        <v>90</v>
      </c>
      <c r="CG21">
        <v>1</v>
      </c>
      <c r="CH21">
        <v>1</v>
      </c>
      <c r="CI21">
        <v>0</v>
      </c>
      <c r="CJ21">
        <v>0</v>
      </c>
    </row>
    <row r="22" spans="2:88" ht="25.5" x14ac:dyDescent="0.25">
      <c r="B22" s="3" t="s">
        <v>116</v>
      </c>
      <c r="C22" s="4" t="s">
        <v>103</v>
      </c>
      <c r="D22" t="s">
        <v>97</v>
      </c>
      <c r="E22">
        <v>3</v>
      </c>
      <c r="F22">
        <v>0</v>
      </c>
      <c r="G22">
        <v>55</v>
      </c>
      <c r="H22">
        <f t="shared" si="0"/>
        <v>45</v>
      </c>
      <c r="I22">
        <v>1.76</v>
      </c>
      <c r="J22">
        <v>0.49</v>
      </c>
      <c r="K22">
        <v>14</v>
      </c>
      <c r="L22">
        <v>10</v>
      </c>
      <c r="M22">
        <v>8</v>
      </c>
      <c r="N22">
        <v>0</v>
      </c>
      <c r="O22">
        <v>7</v>
      </c>
      <c r="P22">
        <v>1</v>
      </c>
      <c r="Q22">
        <v>5</v>
      </c>
      <c r="R22">
        <v>1</v>
      </c>
      <c r="S22">
        <v>464</v>
      </c>
      <c r="T22">
        <v>379</v>
      </c>
      <c r="U22">
        <v>11</v>
      </c>
      <c r="V22">
        <v>7</v>
      </c>
      <c r="W22">
        <v>7</v>
      </c>
      <c r="X22">
        <v>3</v>
      </c>
      <c r="Y22" t="s">
        <v>90</v>
      </c>
      <c r="Z22" t="s">
        <v>90</v>
      </c>
      <c r="AA22">
        <v>3</v>
      </c>
      <c r="AB22">
        <v>8</v>
      </c>
      <c r="AC22">
        <v>3</v>
      </c>
      <c r="AD22">
        <v>2</v>
      </c>
      <c r="AE22">
        <v>1</v>
      </c>
      <c r="AF22">
        <v>0</v>
      </c>
      <c r="AG22">
        <v>10</v>
      </c>
      <c r="AH22">
        <v>5</v>
      </c>
      <c r="AI22">
        <v>4</v>
      </c>
      <c r="AJ22">
        <v>5</v>
      </c>
      <c r="AK22">
        <v>1.49</v>
      </c>
      <c r="AL22">
        <v>0.38</v>
      </c>
      <c r="AM22">
        <v>0.27</v>
      </c>
      <c r="AN22">
        <v>0.11</v>
      </c>
      <c r="AO22">
        <v>1.76</v>
      </c>
      <c r="AP22">
        <v>0.49</v>
      </c>
      <c r="AQ22">
        <v>2.94</v>
      </c>
      <c r="AR22">
        <v>0</v>
      </c>
      <c r="AS22">
        <v>553</v>
      </c>
      <c r="AT22">
        <v>459</v>
      </c>
      <c r="AU22">
        <v>287</v>
      </c>
      <c r="AV22">
        <v>220</v>
      </c>
      <c r="AW22">
        <v>177</v>
      </c>
      <c r="AX22">
        <v>159</v>
      </c>
      <c r="AY22">
        <v>23</v>
      </c>
      <c r="AZ22">
        <v>27</v>
      </c>
      <c r="BA22">
        <v>5</v>
      </c>
      <c r="BB22">
        <v>5</v>
      </c>
      <c r="BC22">
        <v>22</v>
      </c>
      <c r="BD22">
        <v>20</v>
      </c>
      <c r="BE22">
        <v>27</v>
      </c>
      <c r="BF22">
        <v>17</v>
      </c>
      <c r="BG22">
        <v>3</v>
      </c>
      <c r="BH22">
        <v>2</v>
      </c>
      <c r="BI22" t="s">
        <v>90</v>
      </c>
      <c r="BJ22" t="s">
        <v>90</v>
      </c>
      <c r="BK22">
        <v>28</v>
      </c>
      <c r="BL22">
        <v>14</v>
      </c>
      <c r="BM22">
        <v>17</v>
      </c>
      <c r="BN22">
        <v>12</v>
      </c>
      <c r="BO22">
        <v>2</v>
      </c>
      <c r="BP22">
        <v>3</v>
      </c>
      <c r="BQ22">
        <v>31</v>
      </c>
      <c r="BR22">
        <v>40</v>
      </c>
      <c r="BS22">
        <v>0</v>
      </c>
      <c r="BT22">
        <v>5</v>
      </c>
      <c r="BU22" t="s">
        <v>90</v>
      </c>
      <c r="BV22" t="s">
        <v>90</v>
      </c>
      <c r="BW22">
        <v>51</v>
      </c>
      <c r="BX22">
        <v>52</v>
      </c>
      <c r="BY22">
        <v>42</v>
      </c>
      <c r="BZ22">
        <v>29</v>
      </c>
      <c r="CA22">
        <v>9</v>
      </c>
      <c r="CB22">
        <v>23</v>
      </c>
      <c r="CC22">
        <v>8</v>
      </c>
      <c r="CD22">
        <v>5</v>
      </c>
      <c r="CE22" t="s">
        <v>90</v>
      </c>
      <c r="CF22" t="s">
        <v>90</v>
      </c>
      <c r="CG22">
        <v>1</v>
      </c>
      <c r="CH22">
        <v>1</v>
      </c>
      <c r="CI22">
        <v>0</v>
      </c>
      <c r="CJ22">
        <v>0</v>
      </c>
    </row>
    <row r="23" spans="2:88" ht="30" x14ac:dyDescent="0.25">
      <c r="B23" s="3" t="s">
        <v>116</v>
      </c>
      <c r="C23" t="s">
        <v>106</v>
      </c>
      <c r="D23" s="4" t="s">
        <v>99</v>
      </c>
      <c r="E23">
        <v>5</v>
      </c>
      <c r="F23">
        <v>0</v>
      </c>
      <c r="G23">
        <v>61</v>
      </c>
      <c r="H23">
        <f t="shared" si="0"/>
        <v>39</v>
      </c>
      <c r="I23">
        <v>2.6</v>
      </c>
      <c r="J23">
        <v>0.19</v>
      </c>
      <c r="K23">
        <v>19</v>
      </c>
      <c r="L23">
        <v>5</v>
      </c>
      <c r="M23">
        <v>9</v>
      </c>
      <c r="N23">
        <v>0</v>
      </c>
      <c r="O23">
        <v>5</v>
      </c>
      <c r="P23">
        <v>0</v>
      </c>
      <c r="Q23">
        <v>2</v>
      </c>
      <c r="R23">
        <v>0</v>
      </c>
      <c r="S23">
        <v>490</v>
      </c>
      <c r="T23">
        <v>270</v>
      </c>
      <c r="U23">
        <v>7</v>
      </c>
      <c r="V23">
        <v>16</v>
      </c>
      <c r="W23">
        <v>6</v>
      </c>
      <c r="X23">
        <v>2</v>
      </c>
      <c r="Y23" t="s">
        <v>90</v>
      </c>
      <c r="Z23" t="s">
        <v>90</v>
      </c>
      <c r="AA23">
        <v>5</v>
      </c>
      <c r="AB23">
        <v>2</v>
      </c>
      <c r="AC23">
        <v>5</v>
      </c>
      <c r="AD23">
        <v>3</v>
      </c>
      <c r="AE23">
        <v>0</v>
      </c>
      <c r="AF23">
        <v>0</v>
      </c>
      <c r="AG23">
        <v>12</v>
      </c>
      <c r="AH23">
        <v>4</v>
      </c>
      <c r="AI23">
        <v>7</v>
      </c>
      <c r="AJ23">
        <v>1</v>
      </c>
      <c r="AK23">
        <v>2</v>
      </c>
      <c r="AL23">
        <v>0.11</v>
      </c>
      <c r="AM23">
        <v>0.6</v>
      </c>
      <c r="AN23">
        <v>0.08</v>
      </c>
      <c r="AO23">
        <v>2.6</v>
      </c>
      <c r="AP23">
        <v>0.19</v>
      </c>
      <c r="AQ23">
        <v>4.32</v>
      </c>
      <c r="AR23">
        <v>0</v>
      </c>
      <c r="AS23">
        <v>545</v>
      </c>
      <c r="AT23">
        <v>338</v>
      </c>
      <c r="AU23">
        <v>203</v>
      </c>
      <c r="AV23">
        <v>149</v>
      </c>
      <c r="AW23">
        <v>287</v>
      </c>
      <c r="AX23">
        <v>121</v>
      </c>
      <c r="AY23">
        <v>21</v>
      </c>
      <c r="AZ23">
        <v>23</v>
      </c>
      <c r="BA23">
        <v>4</v>
      </c>
      <c r="BB23">
        <v>3</v>
      </c>
      <c r="BC23">
        <v>11</v>
      </c>
      <c r="BD23">
        <v>12</v>
      </c>
      <c r="BE23">
        <v>25</v>
      </c>
      <c r="BF23">
        <v>17</v>
      </c>
      <c r="BG23">
        <v>1</v>
      </c>
      <c r="BH23">
        <v>1</v>
      </c>
      <c r="BI23" t="s">
        <v>90</v>
      </c>
      <c r="BJ23" t="s">
        <v>90</v>
      </c>
      <c r="BK23">
        <v>5</v>
      </c>
      <c r="BL23">
        <v>6</v>
      </c>
      <c r="BM23">
        <v>7</v>
      </c>
      <c r="BN23">
        <v>6</v>
      </c>
      <c r="BO23">
        <v>3</v>
      </c>
      <c r="BP23">
        <v>5</v>
      </c>
      <c r="BQ23">
        <v>20</v>
      </c>
      <c r="BR23">
        <v>20</v>
      </c>
      <c r="BS23">
        <v>0</v>
      </c>
      <c r="BT23">
        <v>4</v>
      </c>
      <c r="BU23" t="s">
        <v>90</v>
      </c>
      <c r="BV23" t="s">
        <v>90</v>
      </c>
      <c r="BW23">
        <v>39</v>
      </c>
      <c r="BX23">
        <v>29</v>
      </c>
      <c r="BY23">
        <v>30</v>
      </c>
      <c r="BZ23">
        <v>17</v>
      </c>
      <c r="CA23">
        <v>19</v>
      </c>
      <c r="CB23">
        <v>12</v>
      </c>
      <c r="CC23">
        <v>9</v>
      </c>
      <c r="CD23">
        <v>5</v>
      </c>
      <c r="CE23" t="s">
        <v>90</v>
      </c>
      <c r="CF23" t="s">
        <v>90</v>
      </c>
      <c r="CG23">
        <v>1</v>
      </c>
      <c r="CH23">
        <v>2</v>
      </c>
      <c r="CI23">
        <v>0</v>
      </c>
      <c r="CJ23">
        <v>0</v>
      </c>
    </row>
    <row r="24" spans="2:88" ht="25.5" x14ac:dyDescent="0.25">
      <c r="B24" s="3" t="s">
        <v>116</v>
      </c>
      <c r="C24" t="s">
        <v>95</v>
      </c>
      <c r="D24" t="s">
        <v>88</v>
      </c>
      <c r="E24">
        <v>2</v>
      </c>
      <c r="F24">
        <v>1</v>
      </c>
      <c r="G24">
        <v>43</v>
      </c>
      <c r="H24">
        <f t="shared" si="0"/>
        <v>57</v>
      </c>
      <c r="I24">
        <v>2.76</v>
      </c>
      <c r="J24">
        <v>2.16</v>
      </c>
      <c r="K24">
        <v>20</v>
      </c>
      <c r="L24">
        <v>16</v>
      </c>
      <c r="M24">
        <v>8</v>
      </c>
      <c r="N24">
        <v>5</v>
      </c>
      <c r="O24">
        <v>5</v>
      </c>
      <c r="P24">
        <v>5</v>
      </c>
      <c r="Q24">
        <v>4</v>
      </c>
      <c r="R24">
        <v>4</v>
      </c>
      <c r="S24">
        <v>277</v>
      </c>
      <c r="T24">
        <v>395</v>
      </c>
      <c r="U24">
        <v>15</v>
      </c>
      <c r="V24">
        <v>8</v>
      </c>
      <c r="W24">
        <v>5</v>
      </c>
      <c r="X24">
        <v>7</v>
      </c>
      <c r="Y24" t="s">
        <v>90</v>
      </c>
      <c r="Z24" t="s">
        <v>90</v>
      </c>
      <c r="AA24">
        <v>7</v>
      </c>
      <c r="AB24">
        <v>7</v>
      </c>
      <c r="AC24">
        <v>5</v>
      </c>
      <c r="AD24">
        <v>4</v>
      </c>
      <c r="AE24">
        <v>0</v>
      </c>
      <c r="AF24">
        <v>0</v>
      </c>
      <c r="AG24">
        <v>12</v>
      </c>
      <c r="AH24">
        <v>13</v>
      </c>
      <c r="AI24">
        <v>8</v>
      </c>
      <c r="AJ24">
        <v>3</v>
      </c>
      <c r="AK24">
        <v>2.68</v>
      </c>
      <c r="AL24">
        <v>1.28</v>
      </c>
      <c r="AM24">
        <v>0.09</v>
      </c>
      <c r="AN24">
        <v>0.89</v>
      </c>
      <c r="AO24">
        <v>2.76</v>
      </c>
      <c r="AP24">
        <v>2.16</v>
      </c>
      <c r="AQ24">
        <v>2.89</v>
      </c>
      <c r="AR24">
        <v>1.78</v>
      </c>
      <c r="AS24">
        <v>381</v>
      </c>
      <c r="AT24">
        <v>510</v>
      </c>
      <c r="AU24">
        <v>112</v>
      </c>
      <c r="AV24">
        <v>212</v>
      </c>
      <c r="AW24">
        <v>165</v>
      </c>
      <c r="AX24">
        <v>183</v>
      </c>
      <c r="AY24">
        <v>18</v>
      </c>
      <c r="AZ24">
        <v>16</v>
      </c>
      <c r="BA24">
        <v>3</v>
      </c>
      <c r="BB24">
        <v>9</v>
      </c>
      <c r="BC24">
        <v>19</v>
      </c>
      <c r="BD24">
        <v>29</v>
      </c>
      <c r="BE24">
        <v>31</v>
      </c>
      <c r="BF24">
        <v>31</v>
      </c>
      <c r="BG24">
        <v>2</v>
      </c>
      <c r="BH24">
        <v>1</v>
      </c>
      <c r="BI24" t="s">
        <v>90</v>
      </c>
      <c r="BJ24" t="s">
        <v>90</v>
      </c>
      <c r="BK24">
        <v>14</v>
      </c>
      <c r="BL24">
        <v>13</v>
      </c>
      <c r="BM24">
        <v>18</v>
      </c>
      <c r="BN24">
        <v>8</v>
      </c>
      <c r="BO24">
        <v>4</v>
      </c>
      <c r="BP24">
        <v>5</v>
      </c>
      <c r="BQ24">
        <v>37</v>
      </c>
      <c r="BR24">
        <v>35</v>
      </c>
      <c r="BS24">
        <v>4</v>
      </c>
      <c r="BT24">
        <v>6</v>
      </c>
      <c r="BU24" t="s">
        <v>90</v>
      </c>
      <c r="BV24" t="s">
        <v>90</v>
      </c>
      <c r="BW24">
        <v>50</v>
      </c>
      <c r="BX24">
        <v>53</v>
      </c>
      <c r="BY24">
        <v>26</v>
      </c>
      <c r="BZ24">
        <v>35</v>
      </c>
      <c r="CA24">
        <v>24</v>
      </c>
      <c r="CB24">
        <v>18</v>
      </c>
      <c r="CC24">
        <v>4</v>
      </c>
      <c r="CD24">
        <v>9</v>
      </c>
      <c r="CE24" t="s">
        <v>90</v>
      </c>
      <c r="CF24" t="s">
        <v>90</v>
      </c>
      <c r="CG24">
        <v>1</v>
      </c>
      <c r="CH24">
        <v>0</v>
      </c>
      <c r="CI24">
        <v>0</v>
      </c>
      <c r="CJ24">
        <v>0</v>
      </c>
    </row>
    <row r="25" spans="2:88" ht="25.5" x14ac:dyDescent="0.25">
      <c r="B25" s="3" t="s">
        <v>116</v>
      </c>
      <c r="C25" t="s">
        <v>96</v>
      </c>
      <c r="D25" t="s">
        <v>101</v>
      </c>
      <c r="E25">
        <v>1</v>
      </c>
      <c r="F25">
        <v>3</v>
      </c>
      <c r="G25">
        <v>55</v>
      </c>
      <c r="H25">
        <f t="shared" si="0"/>
        <v>45</v>
      </c>
      <c r="I25">
        <v>2.12</v>
      </c>
      <c r="J25">
        <v>2.04</v>
      </c>
      <c r="K25">
        <v>18</v>
      </c>
      <c r="L25">
        <v>11</v>
      </c>
      <c r="M25">
        <v>5</v>
      </c>
      <c r="N25">
        <v>5</v>
      </c>
      <c r="O25">
        <v>3</v>
      </c>
      <c r="P25">
        <v>3</v>
      </c>
      <c r="Q25">
        <v>3</v>
      </c>
      <c r="R25">
        <v>0</v>
      </c>
      <c r="S25">
        <v>386</v>
      </c>
      <c r="T25">
        <v>325</v>
      </c>
      <c r="U25">
        <v>11</v>
      </c>
      <c r="V25">
        <v>9</v>
      </c>
      <c r="W25">
        <v>4</v>
      </c>
      <c r="X25">
        <v>5</v>
      </c>
      <c r="Y25" t="s">
        <v>90</v>
      </c>
      <c r="Z25" t="s">
        <v>90</v>
      </c>
      <c r="AA25">
        <v>6</v>
      </c>
      <c r="AB25">
        <v>4</v>
      </c>
      <c r="AC25">
        <v>7</v>
      </c>
      <c r="AD25">
        <v>2</v>
      </c>
      <c r="AE25">
        <v>0</v>
      </c>
      <c r="AF25">
        <v>1</v>
      </c>
      <c r="AG25">
        <v>11</v>
      </c>
      <c r="AH25">
        <v>9</v>
      </c>
      <c r="AI25">
        <v>7</v>
      </c>
      <c r="AJ25">
        <v>2</v>
      </c>
      <c r="AK25">
        <v>0.76</v>
      </c>
      <c r="AL25">
        <v>1.1200000000000001</v>
      </c>
      <c r="AM25">
        <v>0.57999999999999996</v>
      </c>
      <c r="AN25">
        <v>0.93</v>
      </c>
      <c r="AO25">
        <v>1.33</v>
      </c>
      <c r="AP25">
        <v>2.04</v>
      </c>
      <c r="AQ25">
        <v>1.68</v>
      </c>
      <c r="AR25">
        <v>2.72</v>
      </c>
      <c r="AS25">
        <v>478</v>
      </c>
      <c r="AT25">
        <v>401</v>
      </c>
      <c r="AU25">
        <v>175</v>
      </c>
      <c r="AV25">
        <v>193</v>
      </c>
      <c r="AW25">
        <v>211</v>
      </c>
      <c r="AX25">
        <v>132</v>
      </c>
      <c r="AY25">
        <v>20</v>
      </c>
      <c r="AZ25">
        <v>16</v>
      </c>
      <c r="BA25">
        <v>5</v>
      </c>
      <c r="BB25">
        <v>3</v>
      </c>
      <c r="BC25">
        <v>31</v>
      </c>
      <c r="BD25">
        <v>20</v>
      </c>
      <c r="BE25">
        <v>31</v>
      </c>
      <c r="BF25">
        <v>24</v>
      </c>
      <c r="BG25">
        <v>1</v>
      </c>
      <c r="BH25">
        <v>3</v>
      </c>
      <c r="BI25" t="s">
        <v>90</v>
      </c>
      <c r="BJ25" t="s">
        <v>90</v>
      </c>
      <c r="BK25">
        <v>22</v>
      </c>
      <c r="BL25">
        <v>21</v>
      </c>
      <c r="BM25">
        <v>15</v>
      </c>
      <c r="BN25">
        <v>16</v>
      </c>
      <c r="BO25">
        <v>2</v>
      </c>
      <c r="BP25">
        <v>7</v>
      </c>
      <c r="BQ25">
        <v>25</v>
      </c>
      <c r="BR25">
        <v>41</v>
      </c>
      <c r="BS25">
        <v>2</v>
      </c>
      <c r="BT25">
        <v>4</v>
      </c>
      <c r="BU25" t="s">
        <v>90</v>
      </c>
      <c r="BV25" t="s">
        <v>90</v>
      </c>
      <c r="BW25">
        <v>49</v>
      </c>
      <c r="BX25">
        <v>60</v>
      </c>
      <c r="BY25">
        <v>36</v>
      </c>
      <c r="BZ25">
        <v>38</v>
      </c>
      <c r="CA25">
        <v>13</v>
      </c>
      <c r="CB25">
        <v>22</v>
      </c>
      <c r="CC25">
        <v>6</v>
      </c>
      <c r="CD25">
        <v>7</v>
      </c>
      <c r="CE25" t="s">
        <v>90</v>
      </c>
      <c r="CF25" t="s">
        <v>90</v>
      </c>
      <c r="CG25">
        <v>0</v>
      </c>
      <c r="CH25">
        <v>2</v>
      </c>
      <c r="CI25">
        <v>0</v>
      </c>
      <c r="CJ25">
        <v>0</v>
      </c>
    </row>
    <row r="26" spans="2:88" ht="25.5" x14ac:dyDescent="0.25">
      <c r="B26" s="3" t="s">
        <v>117</v>
      </c>
      <c r="C26" s="4" t="s">
        <v>94</v>
      </c>
      <c r="D26" t="s">
        <v>107</v>
      </c>
      <c r="E26">
        <v>1</v>
      </c>
      <c r="F26">
        <v>1</v>
      </c>
      <c r="G26">
        <v>47</v>
      </c>
      <c r="H26">
        <f t="shared" si="0"/>
        <v>53</v>
      </c>
      <c r="I26">
        <v>1.65</v>
      </c>
      <c r="J26">
        <v>1.1200000000000001</v>
      </c>
      <c r="K26">
        <v>15</v>
      </c>
      <c r="L26">
        <v>14</v>
      </c>
      <c r="M26">
        <v>6</v>
      </c>
      <c r="N26">
        <v>5</v>
      </c>
      <c r="O26">
        <v>1</v>
      </c>
      <c r="P26">
        <v>2</v>
      </c>
      <c r="Q26">
        <v>1</v>
      </c>
      <c r="R26">
        <v>1</v>
      </c>
      <c r="S26">
        <v>393</v>
      </c>
      <c r="T26">
        <v>462</v>
      </c>
      <c r="U26">
        <v>11</v>
      </c>
      <c r="V26">
        <v>12</v>
      </c>
      <c r="W26">
        <v>8</v>
      </c>
      <c r="X26">
        <v>5</v>
      </c>
      <c r="Y26" t="s">
        <v>90</v>
      </c>
      <c r="Z26" t="s">
        <v>90</v>
      </c>
      <c r="AA26">
        <v>3</v>
      </c>
      <c r="AB26">
        <v>6</v>
      </c>
      <c r="AC26">
        <v>6</v>
      </c>
      <c r="AD26">
        <v>3</v>
      </c>
      <c r="AE26">
        <v>0</v>
      </c>
      <c r="AF26">
        <v>1</v>
      </c>
      <c r="AG26">
        <v>9</v>
      </c>
      <c r="AH26">
        <v>11</v>
      </c>
      <c r="AI26">
        <v>6</v>
      </c>
      <c r="AJ26">
        <v>3</v>
      </c>
      <c r="AK26">
        <v>0.38</v>
      </c>
      <c r="AL26">
        <v>0.6</v>
      </c>
      <c r="AM26">
        <v>0.48</v>
      </c>
      <c r="AN26">
        <v>0.52</v>
      </c>
      <c r="AO26">
        <v>0.86</v>
      </c>
      <c r="AP26">
        <v>1.1200000000000001</v>
      </c>
      <c r="AQ26">
        <v>1.58</v>
      </c>
      <c r="AR26">
        <v>0.66</v>
      </c>
      <c r="AS26">
        <v>464</v>
      </c>
      <c r="AT26">
        <v>530</v>
      </c>
      <c r="AU26">
        <v>175</v>
      </c>
      <c r="AV26">
        <v>265</v>
      </c>
      <c r="AW26">
        <v>218</v>
      </c>
      <c r="AX26">
        <v>197</v>
      </c>
      <c r="AY26">
        <v>20</v>
      </c>
      <c r="AZ26">
        <v>23</v>
      </c>
      <c r="BA26">
        <v>3</v>
      </c>
      <c r="BB26">
        <v>6</v>
      </c>
      <c r="BC26">
        <v>18</v>
      </c>
      <c r="BD26">
        <v>16</v>
      </c>
      <c r="BE26">
        <v>27</v>
      </c>
      <c r="BF26">
        <v>25</v>
      </c>
      <c r="BG26">
        <v>1</v>
      </c>
      <c r="BH26">
        <v>1</v>
      </c>
      <c r="BI26" t="s">
        <v>90</v>
      </c>
      <c r="BJ26" t="s">
        <v>90</v>
      </c>
      <c r="BK26">
        <v>11</v>
      </c>
      <c r="BL26">
        <v>19</v>
      </c>
      <c r="BM26">
        <v>7</v>
      </c>
      <c r="BN26">
        <v>7</v>
      </c>
      <c r="BO26">
        <v>3</v>
      </c>
      <c r="BP26">
        <v>5</v>
      </c>
      <c r="BQ26">
        <v>19</v>
      </c>
      <c r="BR26">
        <v>40</v>
      </c>
      <c r="BS26">
        <v>4</v>
      </c>
      <c r="BT26">
        <v>5</v>
      </c>
      <c r="BU26" t="s">
        <v>90</v>
      </c>
      <c r="BV26" t="s">
        <v>90</v>
      </c>
      <c r="BW26">
        <v>40</v>
      </c>
      <c r="BX26">
        <v>45</v>
      </c>
      <c r="BY26">
        <v>30</v>
      </c>
      <c r="BZ26">
        <v>35</v>
      </c>
      <c r="CA26">
        <v>10</v>
      </c>
      <c r="CB26">
        <v>10</v>
      </c>
      <c r="CC26">
        <v>8</v>
      </c>
      <c r="CD26">
        <v>5</v>
      </c>
      <c r="CE26" t="s">
        <v>90</v>
      </c>
      <c r="CF26" t="s">
        <v>90</v>
      </c>
      <c r="CG26">
        <v>2</v>
      </c>
      <c r="CH26">
        <v>1</v>
      </c>
      <c r="CI26">
        <v>0</v>
      </c>
      <c r="CJ26">
        <v>0</v>
      </c>
    </row>
    <row r="27" spans="2:88" ht="25.5" x14ac:dyDescent="0.25">
      <c r="B27" s="3" t="s">
        <v>118</v>
      </c>
      <c r="C27" t="s">
        <v>98</v>
      </c>
      <c r="D27" s="4" t="s">
        <v>104</v>
      </c>
      <c r="E27">
        <v>5</v>
      </c>
      <c r="F27">
        <v>0</v>
      </c>
      <c r="G27">
        <v>64</v>
      </c>
      <c r="H27">
        <f t="shared" si="0"/>
        <v>36</v>
      </c>
      <c r="I27">
        <v>2.4300000000000002</v>
      </c>
      <c r="J27">
        <v>1.1000000000000001</v>
      </c>
      <c r="K27">
        <v>19</v>
      </c>
      <c r="L27">
        <v>10</v>
      </c>
      <c r="M27">
        <v>6</v>
      </c>
      <c r="N27">
        <v>4</v>
      </c>
      <c r="O27">
        <v>4</v>
      </c>
      <c r="P27">
        <v>0</v>
      </c>
      <c r="Q27">
        <v>1</v>
      </c>
      <c r="R27">
        <v>0</v>
      </c>
      <c r="S27">
        <v>555</v>
      </c>
      <c r="T27">
        <v>284</v>
      </c>
      <c r="U27">
        <v>11</v>
      </c>
      <c r="V27">
        <v>13</v>
      </c>
      <c r="W27">
        <v>7</v>
      </c>
      <c r="X27">
        <v>7</v>
      </c>
      <c r="Y27" t="s">
        <v>90</v>
      </c>
      <c r="Z27" t="s">
        <v>90</v>
      </c>
      <c r="AA27">
        <v>9</v>
      </c>
      <c r="AB27">
        <v>4</v>
      </c>
      <c r="AC27">
        <v>4</v>
      </c>
      <c r="AD27">
        <v>2</v>
      </c>
      <c r="AE27">
        <v>0</v>
      </c>
      <c r="AF27">
        <v>0</v>
      </c>
      <c r="AG27">
        <v>12</v>
      </c>
      <c r="AH27">
        <v>7</v>
      </c>
      <c r="AI27">
        <v>7</v>
      </c>
      <c r="AJ27">
        <v>3</v>
      </c>
      <c r="AK27">
        <v>1.67</v>
      </c>
      <c r="AL27">
        <v>0.92</v>
      </c>
      <c r="AM27">
        <v>0.75</v>
      </c>
      <c r="AN27">
        <v>0.18</v>
      </c>
      <c r="AO27">
        <v>2.4300000000000002</v>
      </c>
      <c r="AP27">
        <v>0.1</v>
      </c>
      <c r="AQ27">
        <v>3.59</v>
      </c>
      <c r="AR27">
        <v>0.68</v>
      </c>
      <c r="AS27">
        <v>622</v>
      </c>
      <c r="AT27">
        <v>350</v>
      </c>
      <c r="AU27">
        <v>224</v>
      </c>
      <c r="AV27">
        <v>163</v>
      </c>
      <c r="AW27">
        <v>331</v>
      </c>
      <c r="AX27">
        <v>121</v>
      </c>
      <c r="AY27">
        <v>18</v>
      </c>
      <c r="AZ27">
        <v>16</v>
      </c>
      <c r="BA27">
        <v>4</v>
      </c>
      <c r="BB27">
        <v>1</v>
      </c>
      <c r="BC27">
        <v>16</v>
      </c>
      <c r="BD27">
        <v>13</v>
      </c>
      <c r="BE27">
        <v>29</v>
      </c>
      <c r="BF27">
        <v>17</v>
      </c>
      <c r="BG27">
        <v>0</v>
      </c>
      <c r="BH27">
        <v>3</v>
      </c>
      <c r="BI27" t="s">
        <v>90</v>
      </c>
      <c r="BJ27" t="s">
        <v>90</v>
      </c>
      <c r="BK27">
        <v>10</v>
      </c>
      <c r="BL27">
        <v>14</v>
      </c>
      <c r="BM27">
        <v>4</v>
      </c>
      <c r="BN27">
        <v>10</v>
      </c>
      <c r="BO27">
        <v>2</v>
      </c>
      <c r="BP27">
        <v>4</v>
      </c>
      <c r="BQ27">
        <v>15</v>
      </c>
      <c r="BR27">
        <v>28</v>
      </c>
      <c r="BS27">
        <v>4</v>
      </c>
      <c r="BT27">
        <v>1</v>
      </c>
      <c r="BU27" t="s">
        <v>90</v>
      </c>
      <c r="BV27" t="s">
        <v>90</v>
      </c>
      <c r="BW27">
        <v>48</v>
      </c>
      <c r="BX27">
        <v>41</v>
      </c>
      <c r="BY27">
        <v>37</v>
      </c>
      <c r="BZ27">
        <v>34</v>
      </c>
      <c r="CA27">
        <v>11</v>
      </c>
      <c r="CB27">
        <v>7</v>
      </c>
      <c r="CC27">
        <v>15</v>
      </c>
      <c r="CD27">
        <v>9</v>
      </c>
      <c r="CE27" t="s">
        <v>90</v>
      </c>
      <c r="CF27" t="s">
        <v>90</v>
      </c>
      <c r="CG27">
        <v>1</v>
      </c>
      <c r="CH27">
        <v>2</v>
      </c>
      <c r="CI27">
        <v>0</v>
      </c>
      <c r="CJ27">
        <v>0</v>
      </c>
    </row>
    <row r="28" spans="2:88" ht="25.5" x14ac:dyDescent="0.25">
      <c r="B28" s="3" t="s">
        <v>119</v>
      </c>
      <c r="C28" t="s">
        <v>92</v>
      </c>
      <c r="D28" s="2" t="s">
        <v>87</v>
      </c>
      <c r="E28">
        <v>1</v>
      </c>
      <c r="F28">
        <v>2</v>
      </c>
      <c r="G28">
        <v>28</v>
      </c>
      <c r="H28">
        <f t="shared" si="0"/>
        <v>72</v>
      </c>
      <c r="I28">
        <v>0.94</v>
      </c>
      <c r="J28">
        <v>2.83</v>
      </c>
      <c r="K28">
        <v>5</v>
      </c>
      <c r="L28">
        <v>28</v>
      </c>
      <c r="M28">
        <v>1</v>
      </c>
      <c r="N28">
        <v>6</v>
      </c>
      <c r="O28">
        <v>2</v>
      </c>
      <c r="P28">
        <v>3</v>
      </c>
      <c r="Q28">
        <v>2</v>
      </c>
      <c r="R28">
        <v>2</v>
      </c>
      <c r="S28">
        <v>247</v>
      </c>
      <c r="T28">
        <v>753</v>
      </c>
      <c r="U28">
        <v>9</v>
      </c>
      <c r="V28">
        <v>8</v>
      </c>
      <c r="W28">
        <v>3</v>
      </c>
      <c r="X28">
        <v>9</v>
      </c>
      <c r="Y28" t="s">
        <v>90</v>
      </c>
      <c r="Z28" t="s">
        <v>90</v>
      </c>
      <c r="AA28">
        <v>3</v>
      </c>
      <c r="AB28">
        <v>10</v>
      </c>
      <c r="AC28">
        <v>1</v>
      </c>
      <c r="AD28">
        <v>12</v>
      </c>
      <c r="AE28">
        <v>0</v>
      </c>
      <c r="AF28">
        <v>1</v>
      </c>
      <c r="AG28">
        <v>3</v>
      </c>
      <c r="AH28">
        <v>16</v>
      </c>
      <c r="AI28">
        <v>2</v>
      </c>
      <c r="AJ28">
        <v>12</v>
      </c>
      <c r="AK28">
        <v>0.94</v>
      </c>
      <c r="AL28">
        <v>2.5499999999999998</v>
      </c>
      <c r="AM28">
        <v>0</v>
      </c>
      <c r="AN28">
        <v>0.28000000000000003</v>
      </c>
      <c r="AO28">
        <v>0.94</v>
      </c>
      <c r="AP28">
        <v>2.83</v>
      </c>
      <c r="AQ28">
        <v>0.88</v>
      </c>
      <c r="AR28">
        <v>1.53</v>
      </c>
      <c r="AS28">
        <v>321</v>
      </c>
      <c r="AT28">
        <v>823</v>
      </c>
      <c r="AU28">
        <v>192</v>
      </c>
      <c r="AV28">
        <v>280</v>
      </c>
      <c r="AW28">
        <v>54</v>
      </c>
      <c r="AX28">
        <v>473</v>
      </c>
      <c r="AY28">
        <v>8</v>
      </c>
      <c r="AZ28">
        <v>22</v>
      </c>
      <c r="BA28">
        <v>2</v>
      </c>
      <c r="BB28">
        <v>6</v>
      </c>
      <c r="BC28">
        <v>13</v>
      </c>
      <c r="BD28">
        <v>15</v>
      </c>
      <c r="BE28">
        <v>9</v>
      </c>
      <c r="BF28">
        <v>67</v>
      </c>
      <c r="BG28">
        <v>2</v>
      </c>
      <c r="BH28">
        <v>2</v>
      </c>
      <c r="BI28" t="s">
        <v>90</v>
      </c>
      <c r="BJ28" t="s">
        <v>90</v>
      </c>
      <c r="BK28">
        <v>15</v>
      </c>
      <c r="BL28">
        <v>17</v>
      </c>
      <c r="BM28">
        <v>15</v>
      </c>
      <c r="BN28">
        <v>9</v>
      </c>
      <c r="BO28">
        <v>13</v>
      </c>
      <c r="BP28">
        <v>1</v>
      </c>
      <c r="BQ28">
        <v>29</v>
      </c>
      <c r="BR28">
        <v>10</v>
      </c>
      <c r="BS28">
        <v>3</v>
      </c>
      <c r="BT28">
        <v>0</v>
      </c>
      <c r="BU28" t="s">
        <v>90</v>
      </c>
      <c r="BV28" t="s">
        <v>90</v>
      </c>
      <c r="BW28">
        <v>35</v>
      </c>
      <c r="BX28">
        <v>50</v>
      </c>
      <c r="BY28">
        <v>29</v>
      </c>
      <c r="BZ28">
        <v>42</v>
      </c>
      <c r="CA28">
        <v>6</v>
      </c>
      <c r="CB28">
        <v>8</v>
      </c>
      <c r="CC28">
        <v>7</v>
      </c>
      <c r="CD28">
        <v>16</v>
      </c>
      <c r="CE28" t="s">
        <v>90</v>
      </c>
      <c r="CF28" t="s">
        <v>90</v>
      </c>
      <c r="CG28">
        <v>2</v>
      </c>
      <c r="CH28">
        <v>0</v>
      </c>
      <c r="CI28">
        <v>0</v>
      </c>
      <c r="CJ28">
        <v>0</v>
      </c>
    </row>
    <row r="29" spans="2:88" ht="25.5" x14ac:dyDescent="0.25">
      <c r="B29" s="3" t="s">
        <v>120</v>
      </c>
      <c r="C29" s="2" t="s">
        <v>87</v>
      </c>
      <c r="D29" t="s">
        <v>100</v>
      </c>
      <c r="E29">
        <v>7</v>
      </c>
      <c r="F29">
        <v>0</v>
      </c>
      <c r="G29">
        <v>68</v>
      </c>
      <c r="H29">
        <f t="shared" si="0"/>
        <v>32</v>
      </c>
      <c r="I29">
        <v>3.71</v>
      </c>
      <c r="J29">
        <v>0.34</v>
      </c>
      <c r="K29">
        <v>23</v>
      </c>
      <c r="L29">
        <v>3</v>
      </c>
      <c r="M29">
        <v>15</v>
      </c>
      <c r="N29">
        <v>2</v>
      </c>
      <c r="O29">
        <v>6</v>
      </c>
      <c r="P29">
        <v>0</v>
      </c>
      <c r="Q29">
        <v>2</v>
      </c>
      <c r="R29">
        <v>0</v>
      </c>
      <c r="S29">
        <v>587</v>
      </c>
      <c r="T29">
        <v>224</v>
      </c>
      <c r="U29">
        <v>12</v>
      </c>
      <c r="V29">
        <v>9</v>
      </c>
      <c r="W29">
        <v>9</v>
      </c>
      <c r="X29">
        <v>2</v>
      </c>
      <c r="Y29" t="s">
        <v>90</v>
      </c>
      <c r="Z29" t="s">
        <v>90</v>
      </c>
      <c r="AA29">
        <v>3</v>
      </c>
      <c r="AB29">
        <v>1</v>
      </c>
      <c r="AC29">
        <v>5</v>
      </c>
      <c r="AD29">
        <v>0</v>
      </c>
      <c r="AE29">
        <v>0</v>
      </c>
      <c r="AF29">
        <v>0</v>
      </c>
      <c r="AG29">
        <v>14</v>
      </c>
      <c r="AH29">
        <v>2</v>
      </c>
      <c r="AI29">
        <v>9</v>
      </c>
      <c r="AJ29">
        <v>1</v>
      </c>
      <c r="AK29">
        <v>2.5099999999999998</v>
      </c>
      <c r="AL29">
        <v>0.2</v>
      </c>
      <c r="AM29">
        <v>0.42</v>
      </c>
      <c r="AN29">
        <v>0.14000000000000001</v>
      </c>
      <c r="AO29">
        <v>2.92</v>
      </c>
      <c r="AP29">
        <v>0.34</v>
      </c>
      <c r="AQ29">
        <v>3.2</v>
      </c>
      <c r="AR29">
        <v>0.43</v>
      </c>
      <c r="AS29">
        <v>642</v>
      </c>
      <c r="AT29">
        <v>299</v>
      </c>
      <c r="AU29">
        <v>144</v>
      </c>
      <c r="AV29">
        <v>156</v>
      </c>
      <c r="AW29">
        <v>443</v>
      </c>
      <c r="AX29">
        <v>68</v>
      </c>
      <c r="AY29">
        <v>23</v>
      </c>
      <c r="AZ29">
        <v>24</v>
      </c>
      <c r="BA29">
        <v>4</v>
      </c>
      <c r="BB29">
        <v>2</v>
      </c>
      <c r="BC29">
        <v>21</v>
      </c>
      <c r="BD29">
        <v>14</v>
      </c>
      <c r="BE29">
        <v>53</v>
      </c>
      <c r="BF29">
        <v>5</v>
      </c>
      <c r="BG29">
        <v>2</v>
      </c>
      <c r="BH29">
        <v>2</v>
      </c>
      <c r="BI29" t="s">
        <v>90</v>
      </c>
      <c r="BJ29" t="s">
        <v>90</v>
      </c>
      <c r="BK29">
        <v>11</v>
      </c>
      <c r="BL29">
        <v>22</v>
      </c>
      <c r="BM29">
        <v>9</v>
      </c>
      <c r="BN29">
        <v>10</v>
      </c>
      <c r="BO29">
        <v>0</v>
      </c>
      <c r="BP29">
        <v>7</v>
      </c>
      <c r="BQ29">
        <v>5</v>
      </c>
      <c r="BR29">
        <v>39</v>
      </c>
      <c r="BS29">
        <v>2</v>
      </c>
      <c r="BT29">
        <v>6</v>
      </c>
      <c r="BU29" t="s">
        <v>90</v>
      </c>
      <c r="BV29" t="s">
        <v>90</v>
      </c>
      <c r="BW29">
        <v>44</v>
      </c>
      <c r="BX29">
        <v>51</v>
      </c>
      <c r="BY29">
        <v>36</v>
      </c>
      <c r="BZ29">
        <v>44</v>
      </c>
      <c r="CA29">
        <v>8</v>
      </c>
      <c r="CB29">
        <v>7</v>
      </c>
      <c r="CC29">
        <v>17</v>
      </c>
      <c r="CD29">
        <v>10</v>
      </c>
      <c r="CE29" t="s">
        <v>90</v>
      </c>
      <c r="CF29" t="s">
        <v>90</v>
      </c>
      <c r="CG29">
        <v>1</v>
      </c>
      <c r="CH29">
        <v>3</v>
      </c>
      <c r="CI29">
        <v>0</v>
      </c>
      <c r="CJ29">
        <v>0</v>
      </c>
    </row>
    <row r="30" spans="2:88" ht="30" x14ac:dyDescent="0.25">
      <c r="B30" s="3" t="s">
        <v>121</v>
      </c>
      <c r="C30" s="4" t="s">
        <v>99</v>
      </c>
      <c r="D30" t="s">
        <v>96</v>
      </c>
      <c r="E30">
        <v>3</v>
      </c>
      <c r="F30">
        <v>4</v>
      </c>
      <c r="G30">
        <v>47</v>
      </c>
      <c r="H30">
        <f t="shared" si="0"/>
        <v>53</v>
      </c>
      <c r="I30">
        <v>3.24</v>
      </c>
      <c r="J30">
        <v>2.82</v>
      </c>
      <c r="K30">
        <v>21</v>
      </c>
      <c r="L30">
        <v>17</v>
      </c>
      <c r="M30">
        <v>7</v>
      </c>
      <c r="N30">
        <v>8</v>
      </c>
      <c r="O30">
        <v>4</v>
      </c>
      <c r="P30">
        <v>5</v>
      </c>
      <c r="Q30">
        <v>1</v>
      </c>
      <c r="R30">
        <v>2</v>
      </c>
      <c r="S30">
        <v>336</v>
      </c>
      <c r="T30">
        <v>392</v>
      </c>
      <c r="U30">
        <v>12</v>
      </c>
      <c r="V30">
        <v>14</v>
      </c>
      <c r="W30">
        <v>6</v>
      </c>
      <c r="X30">
        <v>4</v>
      </c>
      <c r="Y30" t="s">
        <v>90</v>
      </c>
      <c r="Z30" t="s">
        <v>90</v>
      </c>
      <c r="AA30">
        <v>7</v>
      </c>
      <c r="AB30">
        <v>7</v>
      </c>
      <c r="AC30">
        <v>7</v>
      </c>
      <c r="AD30">
        <v>2</v>
      </c>
      <c r="AE30">
        <v>1</v>
      </c>
      <c r="AF30">
        <v>0</v>
      </c>
      <c r="AG30">
        <v>15</v>
      </c>
      <c r="AH30">
        <v>15</v>
      </c>
      <c r="AI30">
        <v>6</v>
      </c>
      <c r="AJ30">
        <v>2</v>
      </c>
      <c r="AK30">
        <v>1.0900000000000001</v>
      </c>
      <c r="AL30">
        <v>0.7</v>
      </c>
      <c r="AM30">
        <v>0.56999999999999995</v>
      </c>
      <c r="AN30">
        <v>2.12</v>
      </c>
      <c r="AO30">
        <v>1.66</v>
      </c>
      <c r="AP30">
        <v>2.82</v>
      </c>
      <c r="AQ30">
        <v>3.41</v>
      </c>
      <c r="AR30">
        <v>3.09</v>
      </c>
      <c r="AS30">
        <v>425</v>
      </c>
      <c r="AT30">
        <v>482</v>
      </c>
      <c r="AU30">
        <v>223</v>
      </c>
      <c r="AV30">
        <v>176</v>
      </c>
      <c r="AW30">
        <v>113</v>
      </c>
      <c r="AX30">
        <v>216</v>
      </c>
      <c r="AY30">
        <v>20</v>
      </c>
      <c r="AZ30">
        <v>14</v>
      </c>
      <c r="BA30">
        <v>4</v>
      </c>
      <c r="BB30">
        <v>10</v>
      </c>
      <c r="BC30">
        <v>17</v>
      </c>
      <c r="BD30">
        <v>16</v>
      </c>
      <c r="BE30">
        <v>33</v>
      </c>
      <c r="BF30">
        <v>33</v>
      </c>
      <c r="BG30">
        <v>0</v>
      </c>
      <c r="BH30">
        <v>2</v>
      </c>
      <c r="BI30" t="s">
        <v>90</v>
      </c>
      <c r="BJ30" t="s">
        <v>90</v>
      </c>
      <c r="BK30">
        <v>16</v>
      </c>
      <c r="BL30">
        <v>17</v>
      </c>
      <c r="BM30">
        <v>9</v>
      </c>
      <c r="BN30">
        <v>10</v>
      </c>
      <c r="BO30">
        <v>2</v>
      </c>
      <c r="BP30">
        <v>5</v>
      </c>
      <c r="BQ30">
        <v>43</v>
      </c>
      <c r="BR30">
        <v>31</v>
      </c>
      <c r="BS30">
        <v>4</v>
      </c>
      <c r="BT30">
        <v>4</v>
      </c>
      <c r="BU30" t="s">
        <v>90</v>
      </c>
      <c r="BV30" t="s">
        <v>90</v>
      </c>
      <c r="BW30">
        <v>44</v>
      </c>
      <c r="BX30">
        <v>57</v>
      </c>
      <c r="BY30">
        <v>27</v>
      </c>
      <c r="BZ30">
        <v>31</v>
      </c>
      <c r="CA30">
        <v>17</v>
      </c>
      <c r="CB30">
        <v>26</v>
      </c>
      <c r="CC30">
        <v>0</v>
      </c>
      <c r="CD30">
        <v>3</v>
      </c>
      <c r="CE30" t="s">
        <v>90</v>
      </c>
      <c r="CF30" t="s">
        <v>90</v>
      </c>
      <c r="CG30">
        <v>6</v>
      </c>
      <c r="CH30">
        <v>5</v>
      </c>
      <c r="CI30">
        <v>0</v>
      </c>
      <c r="CJ30">
        <v>0</v>
      </c>
    </row>
    <row r="31" spans="2:88" ht="25.5" x14ac:dyDescent="0.25">
      <c r="B31" s="3" t="s">
        <v>121</v>
      </c>
      <c r="C31" t="s">
        <v>101</v>
      </c>
      <c r="D31" t="s">
        <v>106</v>
      </c>
      <c r="E31">
        <v>2</v>
      </c>
      <c r="F31">
        <v>2</v>
      </c>
      <c r="G31">
        <v>42</v>
      </c>
      <c r="H31">
        <f t="shared" si="0"/>
        <v>58</v>
      </c>
      <c r="I31">
        <v>2.1800000000000002</v>
      </c>
      <c r="J31">
        <v>3.09</v>
      </c>
      <c r="K31">
        <v>10</v>
      </c>
      <c r="L31">
        <v>22</v>
      </c>
      <c r="M31">
        <v>3</v>
      </c>
      <c r="N31">
        <v>7</v>
      </c>
      <c r="O31">
        <v>3</v>
      </c>
      <c r="P31">
        <v>5</v>
      </c>
      <c r="Q31">
        <v>1</v>
      </c>
      <c r="R31">
        <v>4</v>
      </c>
      <c r="S31">
        <v>255</v>
      </c>
      <c r="T31">
        <v>374</v>
      </c>
      <c r="U31">
        <v>12</v>
      </c>
      <c r="V31">
        <v>11</v>
      </c>
      <c r="W31">
        <v>3</v>
      </c>
      <c r="X31">
        <v>5</v>
      </c>
      <c r="Y31" t="s">
        <v>90</v>
      </c>
      <c r="Z31" t="s">
        <v>90</v>
      </c>
      <c r="AA31">
        <v>6</v>
      </c>
      <c r="AB31">
        <v>12</v>
      </c>
      <c r="AC31">
        <v>1</v>
      </c>
      <c r="AD31">
        <v>3</v>
      </c>
      <c r="AE31">
        <v>0</v>
      </c>
      <c r="AF31">
        <v>1</v>
      </c>
      <c r="AG31">
        <v>9</v>
      </c>
      <c r="AH31">
        <v>17</v>
      </c>
      <c r="AI31">
        <v>1</v>
      </c>
      <c r="AJ31">
        <v>5</v>
      </c>
      <c r="AK31">
        <v>1.96</v>
      </c>
      <c r="AL31">
        <v>1.47</v>
      </c>
      <c r="AM31">
        <v>0.32</v>
      </c>
      <c r="AN31">
        <v>1.62</v>
      </c>
      <c r="AO31">
        <v>2.1800000000000002</v>
      </c>
      <c r="AP31">
        <v>3.09</v>
      </c>
      <c r="AQ31">
        <v>1.95</v>
      </c>
      <c r="AR31">
        <v>2.0699999999999998</v>
      </c>
      <c r="AS31">
        <v>336</v>
      </c>
      <c r="AT31">
        <v>456</v>
      </c>
      <c r="AU31">
        <v>155</v>
      </c>
      <c r="AV31">
        <v>233</v>
      </c>
      <c r="AW31">
        <v>100</v>
      </c>
      <c r="AX31">
        <v>141</v>
      </c>
      <c r="AY31">
        <v>15</v>
      </c>
      <c r="AZ31">
        <v>16</v>
      </c>
      <c r="BA31">
        <v>2</v>
      </c>
      <c r="BB31">
        <v>9</v>
      </c>
      <c r="BC31">
        <v>15</v>
      </c>
      <c r="BD31">
        <v>25</v>
      </c>
      <c r="BE31">
        <v>26</v>
      </c>
      <c r="BF31">
        <v>24</v>
      </c>
      <c r="BG31">
        <v>1</v>
      </c>
      <c r="BH31">
        <v>2</v>
      </c>
      <c r="BI31" t="s">
        <v>90</v>
      </c>
      <c r="BJ31" t="s">
        <v>90</v>
      </c>
      <c r="BK31">
        <v>15</v>
      </c>
      <c r="BL31">
        <v>12</v>
      </c>
      <c r="BM31">
        <v>8</v>
      </c>
      <c r="BN31">
        <v>7</v>
      </c>
      <c r="BO31">
        <v>3</v>
      </c>
      <c r="BP31">
        <v>1</v>
      </c>
      <c r="BQ31">
        <v>28</v>
      </c>
      <c r="BR31">
        <v>21</v>
      </c>
      <c r="BS31">
        <v>5</v>
      </c>
      <c r="BT31">
        <v>1</v>
      </c>
      <c r="BU31" t="s">
        <v>90</v>
      </c>
      <c r="BV31" t="s">
        <v>90</v>
      </c>
      <c r="BW31">
        <v>48</v>
      </c>
      <c r="BX31">
        <v>50</v>
      </c>
      <c r="BY31">
        <v>33</v>
      </c>
      <c r="BZ31">
        <v>33</v>
      </c>
      <c r="CA31">
        <v>15</v>
      </c>
      <c r="CB31">
        <v>17</v>
      </c>
      <c r="CC31">
        <v>7</v>
      </c>
      <c r="CD31">
        <v>9</v>
      </c>
      <c r="CE31" t="s">
        <v>90</v>
      </c>
      <c r="CF31" t="s">
        <v>90</v>
      </c>
      <c r="CG31">
        <v>2</v>
      </c>
      <c r="CH31">
        <v>2</v>
      </c>
      <c r="CI31">
        <v>0</v>
      </c>
      <c r="CJ31">
        <v>0</v>
      </c>
    </row>
    <row r="32" spans="2:88" ht="25.5" x14ac:dyDescent="0.25">
      <c r="B32" s="3" t="s">
        <v>121</v>
      </c>
      <c r="C32" s="4" t="s">
        <v>104</v>
      </c>
      <c r="D32" s="4" t="s">
        <v>94</v>
      </c>
      <c r="E32">
        <v>2</v>
      </c>
      <c r="F32">
        <v>1</v>
      </c>
      <c r="G32">
        <v>32</v>
      </c>
      <c r="H32">
        <f t="shared" si="0"/>
        <v>68</v>
      </c>
      <c r="I32">
        <v>1.45</v>
      </c>
      <c r="J32">
        <v>1.41</v>
      </c>
      <c r="K32">
        <v>12</v>
      </c>
      <c r="L32">
        <v>18</v>
      </c>
      <c r="M32">
        <v>7</v>
      </c>
      <c r="N32">
        <v>5</v>
      </c>
      <c r="O32">
        <v>3</v>
      </c>
      <c r="P32">
        <v>3</v>
      </c>
      <c r="Q32">
        <v>1</v>
      </c>
      <c r="R32">
        <v>2</v>
      </c>
      <c r="S32">
        <v>199</v>
      </c>
      <c r="T32">
        <v>498</v>
      </c>
      <c r="U32">
        <v>12</v>
      </c>
      <c r="V32">
        <v>14</v>
      </c>
      <c r="W32">
        <v>3</v>
      </c>
      <c r="X32">
        <v>5</v>
      </c>
      <c r="Y32" t="s">
        <v>90</v>
      </c>
      <c r="Z32" t="s">
        <v>90</v>
      </c>
      <c r="AA32">
        <v>4</v>
      </c>
      <c r="AB32">
        <v>6</v>
      </c>
      <c r="AC32">
        <v>1</v>
      </c>
      <c r="AD32">
        <v>7</v>
      </c>
      <c r="AE32">
        <v>0</v>
      </c>
      <c r="AF32">
        <v>1</v>
      </c>
      <c r="AG32">
        <v>7</v>
      </c>
      <c r="AH32">
        <v>12</v>
      </c>
      <c r="AI32">
        <v>5</v>
      </c>
      <c r="AJ32">
        <v>6</v>
      </c>
      <c r="AK32">
        <v>1.07</v>
      </c>
      <c r="AL32">
        <v>1.04</v>
      </c>
      <c r="AM32">
        <v>0.39</v>
      </c>
      <c r="AN32">
        <v>0.37</v>
      </c>
      <c r="AO32">
        <v>1.45</v>
      </c>
      <c r="AP32">
        <v>1.41</v>
      </c>
      <c r="AQ32">
        <v>2.0099999999999998</v>
      </c>
      <c r="AR32">
        <v>0.66</v>
      </c>
      <c r="AS32">
        <v>267</v>
      </c>
      <c r="AT32">
        <v>566</v>
      </c>
      <c r="AU32">
        <v>112</v>
      </c>
      <c r="AV32">
        <v>217</v>
      </c>
      <c r="AW32">
        <v>87</v>
      </c>
      <c r="AX32">
        <v>281</v>
      </c>
      <c r="AY32">
        <v>18</v>
      </c>
      <c r="AZ32">
        <v>15</v>
      </c>
      <c r="BA32">
        <v>3</v>
      </c>
      <c r="BB32">
        <v>6</v>
      </c>
      <c r="BC32">
        <v>18</v>
      </c>
      <c r="BD32">
        <v>22</v>
      </c>
      <c r="BE32">
        <v>14</v>
      </c>
      <c r="BF32">
        <v>26</v>
      </c>
      <c r="BG32">
        <v>2</v>
      </c>
      <c r="BH32">
        <v>1</v>
      </c>
      <c r="BI32" t="s">
        <v>90</v>
      </c>
      <c r="BJ32" t="s">
        <v>90</v>
      </c>
      <c r="BK32">
        <v>16</v>
      </c>
      <c r="BL32">
        <v>8</v>
      </c>
      <c r="BM32">
        <v>11</v>
      </c>
      <c r="BN32">
        <v>6</v>
      </c>
      <c r="BO32">
        <v>6</v>
      </c>
      <c r="BP32">
        <v>1</v>
      </c>
      <c r="BQ32">
        <v>32</v>
      </c>
      <c r="BR32">
        <v>24</v>
      </c>
      <c r="BS32">
        <v>4</v>
      </c>
      <c r="BT32">
        <v>5</v>
      </c>
      <c r="BU32" t="s">
        <v>90</v>
      </c>
      <c r="BV32" t="s">
        <v>90</v>
      </c>
      <c r="BW32">
        <v>46</v>
      </c>
      <c r="BX32">
        <v>45</v>
      </c>
      <c r="BY32">
        <v>33</v>
      </c>
      <c r="BZ32">
        <v>26</v>
      </c>
      <c r="CA32">
        <v>13</v>
      </c>
      <c r="CB32">
        <v>19</v>
      </c>
      <c r="CC32">
        <v>4</v>
      </c>
      <c r="CD32">
        <v>7</v>
      </c>
      <c r="CE32" t="s">
        <v>90</v>
      </c>
      <c r="CF32" t="s">
        <v>90</v>
      </c>
      <c r="CG32">
        <v>2</v>
      </c>
      <c r="CH32">
        <v>3</v>
      </c>
      <c r="CI32">
        <v>0</v>
      </c>
      <c r="CJ32">
        <v>0</v>
      </c>
    </row>
    <row r="33" spans="2:88" ht="25.5" x14ac:dyDescent="0.25">
      <c r="B33" s="3" t="s">
        <v>121</v>
      </c>
      <c r="C33" t="s">
        <v>107</v>
      </c>
      <c r="D33" t="s">
        <v>108</v>
      </c>
      <c r="E33">
        <v>3</v>
      </c>
      <c r="F33">
        <v>2</v>
      </c>
      <c r="G33">
        <v>66</v>
      </c>
      <c r="H33">
        <f t="shared" si="0"/>
        <v>34</v>
      </c>
      <c r="I33">
        <v>2.78</v>
      </c>
      <c r="J33">
        <v>1.1200000000000001</v>
      </c>
      <c r="K33">
        <v>20</v>
      </c>
      <c r="L33">
        <v>7</v>
      </c>
      <c r="M33">
        <v>11</v>
      </c>
      <c r="N33">
        <v>4</v>
      </c>
      <c r="O33">
        <v>7</v>
      </c>
      <c r="P33">
        <v>1</v>
      </c>
      <c r="Q33">
        <v>6</v>
      </c>
      <c r="R33">
        <v>0</v>
      </c>
      <c r="S33">
        <v>602</v>
      </c>
      <c r="T33">
        <v>262</v>
      </c>
      <c r="U33">
        <v>10</v>
      </c>
      <c r="V33">
        <v>11</v>
      </c>
      <c r="W33">
        <v>2</v>
      </c>
      <c r="X33">
        <v>2</v>
      </c>
      <c r="Y33" t="s">
        <v>90</v>
      </c>
      <c r="Z33" t="s">
        <v>90</v>
      </c>
      <c r="AA33">
        <v>6</v>
      </c>
      <c r="AB33">
        <v>1</v>
      </c>
      <c r="AC33">
        <v>3</v>
      </c>
      <c r="AD33">
        <v>2</v>
      </c>
      <c r="AE33">
        <v>1</v>
      </c>
      <c r="AF33">
        <v>0</v>
      </c>
      <c r="AG33">
        <v>17</v>
      </c>
      <c r="AH33">
        <v>5</v>
      </c>
      <c r="AI33">
        <v>3</v>
      </c>
      <c r="AJ33">
        <v>2</v>
      </c>
      <c r="AK33">
        <v>2.35</v>
      </c>
      <c r="AL33">
        <v>1.02</v>
      </c>
      <c r="AM33">
        <v>0.42</v>
      </c>
      <c r="AN33">
        <v>0.1</v>
      </c>
      <c r="AO33">
        <v>2.78</v>
      </c>
      <c r="AP33">
        <v>1.1200000000000001</v>
      </c>
      <c r="AQ33">
        <v>3.83</v>
      </c>
      <c r="AR33">
        <v>1.52</v>
      </c>
      <c r="AS33">
        <v>683</v>
      </c>
      <c r="AT33">
        <v>356</v>
      </c>
      <c r="AU33">
        <v>246</v>
      </c>
      <c r="AV33">
        <v>163</v>
      </c>
      <c r="AW33">
        <v>356</v>
      </c>
      <c r="AX33">
        <v>99</v>
      </c>
      <c r="AY33">
        <v>28</v>
      </c>
      <c r="AZ33">
        <v>15</v>
      </c>
      <c r="BA33">
        <v>4</v>
      </c>
      <c r="BB33">
        <v>2</v>
      </c>
      <c r="BC33">
        <v>17</v>
      </c>
      <c r="BD33">
        <v>15</v>
      </c>
      <c r="BE33">
        <v>31</v>
      </c>
      <c r="BF33">
        <v>14</v>
      </c>
      <c r="BG33">
        <v>2</v>
      </c>
      <c r="BH33">
        <v>1</v>
      </c>
      <c r="BI33" t="s">
        <v>90</v>
      </c>
      <c r="BJ33" t="s">
        <v>90</v>
      </c>
      <c r="BK33">
        <v>8</v>
      </c>
      <c r="BL33">
        <v>15</v>
      </c>
      <c r="BM33">
        <v>15</v>
      </c>
      <c r="BN33">
        <v>7</v>
      </c>
      <c r="BO33">
        <v>2</v>
      </c>
      <c r="BP33">
        <v>4</v>
      </c>
      <c r="BQ33">
        <v>15</v>
      </c>
      <c r="BR33">
        <v>26</v>
      </c>
      <c r="BS33">
        <v>2</v>
      </c>
      <c r="BT33">
        <v>7</v>
      </c>
      <c r="BU33" t="s">
        <v>90</v>
      </c>
      <c r="BV33" t="s">
        <v>90</v>
      </c>
      <c r="BW33">
        <v>41</v>
      </c>
      <c r="BX33">
        <v>43</v>
      </c>
      <c r="BY33">
        <v>25</v>
      </c>
      <c r="BZ33">
        <v>27</v>
      </c>
      <c r="CA33">
        <v>16</v>
      </c>
      <c r="CB33">
        <v>16</v>
      </c>
      <c r="CC33">
        <v>6</v>
      </c>
      <c r="CD33">
        <v>2</v>
      </c>
      <c r="CE33" t="s">
        <v>90</v>
      </c>
      <c r="CF33" t="s">
        <v>90</v>
      </c>
      <c r="CG33">
        <v>2</v>
      </c>
      <c r="CH33">
        <v>2</v>
      </c>
      <c r="CI33">
        <v>0</v>
      </c>
      <c r="CJ33">
        <v>0</v>
      </c>
    </row>
    <row r="34" spans="2:88" ht="30" x14ac:dyDescent="0.25">
      <c r="B34" s="3" t="s">
        <v>122</v>
      </c>
      <c r="C34" t="s">
        <v>88</v>
      </c>
      <c r="D34" s="4" t="s">
        <v>103</v>
      </c>
      <c r="E34">
        <v>0</v>
      </c>
      <c r="F34">
        <v>1</v>
      </c>
      <c r="G34">
        <v>56</v>
      </c>
      <c r="H34">
        <f t="shared" si="0"/>
        <v>44</v>
      </c>
      <c r="I34">
        <v>0.87</v>
      </c>
      <c r="J34">
        <v>1.34</v>
      </c>
      <c r="K34">
        <v>12</v>
      </c>
      <c r="L34">
        <v>13</v>
      </c>
      <c r="M34">
        <v>5</v>
      </c>
      <c r="N34">
        <v>2</v>
      </c>
      <c r="O34">
        <v>0</v>
      </c>
      <c r="P34">
        <v>3</v>
      </c>
      <c r="Q34">
        <v>0</v>
      </c>
      <c r="R34">
        <v>2</v>
      </c>
      <c r="S34">
        <v>372</v>
      </c>
      <c r="T34">
        <v>335</v>
      </c>
      <c r="U34">
        <v>9</v>
      </c>
      <c r="V34">
        <v>14</v>
      </c>
      <c r="W34">
        <v>6</v>
      </c>
      <c r="X34">
        <v>2</v>
      </c>
      <c r="Y34" t="s">
        <v>90</v>
      </c>
      <c r="Z34" t="s">
        <v>90</v>
      </c>
      <c r="AA34">
        <v>6</v>
      </c>
      <c r="AB34">
        <v>6</v>
      </c>
      <c r="AC34">
        <v>1</v>
      </c>
      <c r="AD34">
        <v>5</v>
      </c>
      <c r="AE34">
        <v>0</v>
      </c>
      <c r="AF34">
        <v>0</v>
      </c>
      <c r="AG34">
        <v>8</v>
      </c>
      <c r="AH34">
        <v>10</v>
      </c>
      <c r="AI34">
        <v>4</v>
      </c>
      <c r="AJ34">
        <v>3</v>
      </c>
      <c r="AK34">
        <v>0.78</v>
      </c>
      <c r="AL34">
        <v>0.82</v>
      </c>
      <c r="AM34">
        <v>0.09</v>
      </c>
      <c r="AN34">
        <v>0.51</v>
      </c>
      <c r="AO34">
        <v>0.87</v>
      </c>
      <c r="AP34">
        <v>1.34</v>
      </c>
      <c r="AQ34">
        <v>0.59</v>
      </c>
      <c r="AR34">
        <v>0.44</v>
      </c>
      <c r="AS34">
        <v>544</v>
      </c>
      <c r="AT34">
        <v>432</v>
      </c>
      <c r="AU34">
        <v>266</v>
      </c>
      <c r="AV34">
        <v>149</v>
      </c>
      <c r="AW34">
        <v>206</v>
      </c>
      <c r="AX34">
        <v>186</v>
      </c>
      <c r="AY34">
        <v>22</v>
      </c>
      <c r="AZ34">
        <v>28</v>
      </c>
      <c r="BA34">
        <v>5</v>
      </c>
      <c r="BB34">
        <v>3</v>
      </c>
      <c r="BC34">
        <v>16</v>
      </c>
      <c r="BD34">
        <v>17</v>
      </c>
      <c r="BE34">
        <v>15</v>
      </c>
      <c r="BF34">
        <v>31</v>
      </c>
      <c r="BG34">
        <v>4</v>
      </c>
      <c r="BH34">
        <v>1</v>
      </c>
      <c r="BI34" t="s">
        <v>90</v>
      </c>
      <c r="BJ34" t="s">
        <v>90</v>
      </c>
      <c r="BK34">
        <v>10</v>
      </c>
      <c r="BL34">
        <v>17</v>
      </c>
      <c r="BM34">
        <v>5</v>
      </c>
      <c r="BN34">
        <v>11</v>
      </c>
      <c r="BO34">
        <v>5</v>
      </c>
      <c r="BP34">
        <v>1</v>
      </c>
      <c r="BQ34">
        <v>30</v>
      </c>
      <c r="BR34">
        <v>30</v>
      </c>
      <c r="BS34">
        <v>1</v>
      </c>
      <c r="BT34">
        <v>5</v>
      </c>
      <c r="BU34" t="s">
        <v>90</v>
      </c>
      <c r="BV34" t="s">
        <v>90</v>
      </c>
      <c r="BW34">
        <v>48</v>
      </c>
      <c r="BX34">
        <v>52</v>
      </c>
      <c r="BY34">
        <v>33</v>
      </c>
      <c r="BZ34">
        <v>33</v>
      </c>
      <c r="CA34">
        <v>15</v>
      </c>
      <c r="CB34">
        <v>19</v>
      </c>
      <c r="CC34">
        <v>9</v>
      </c>
      <c r="CD34">
        <v>7</v>
      </c>
      <c r="CE34" t="s">
        <v>90</v>
      </c>
      <c r="CF34" t="s">
        <v>90</v>
      </c>
      <c r="CG34">
        <v>2</v>
      </c>
      <c r="CH34">
        <v>5</v>
      </c>
      <c r="CI34">
        <v>0</v>
      </c>
      <c r="CJ34">
        <v>0</v>
      </c>
    </row>
    <row r="35" spans="2:88" ht="25.5" x14ac:dyDescent="0.25">
      <c r="B35" s="3" t="s">
        <v>123</v>
      </c>
      <c r="C35" s="4" t="s">
        <v>93</v>
      </c>
      <c r="D35" t="s">
        <v>98</v>
      </c>
      <c r="E35">
        <v>2</v>
      </c>
      <c r="F35">
        <v>0</v>
      </c>
      <c r="G35">
        <v>51</v>
      </c>
      <c r="H35">
        <f t="shared" si="0"/>
        <v>49</v>
      </c>
      <c r="I35">
        <v>2.27</v>
      </c>
      <c r="J35">
        <v>0.97</v>
      </c>
      <c r="K35">
        <v>18</v>
      </c>
      <c r="L35">
        <v>12</v>
      </c>
      <c r="M35">
        <v>6</v>
      </c>
      <c r="N35">
        <v>3</v>
      </c>
      <c r="O35">
        <v>5</v>
      </c>
      <c r="P35">
        <v>0</v>
      </c>
      <c r="Q35">
        <v>4</v>
      </c>
      <c r="R35">
        <v>0</v>
      </c>
      <c r="S35">
        <v>413</v>
      </c>
      <c r="T35">
        <v>411</v>
      </c>
      <c r="U35">
        <v>14</v>
      </c>
      <c r="V35">
        <v>8</v>
      </c>
      <c r="W35">
        <v>9</v>
      </c>
      <c r="X35">
        <v>6</v>
      </c>
      <c r="Y35" t="s">
        <v>90</v>
      </c>
      <c r="Z35" t="s">
        <v>90</v>
      </c>
      <c r="AA35">
        <v>11</v>
      </c>
      <c r="AB35">
        <v>6</v>
      </c>
      <c r="AC35">
        <v>1</v>
      </c>
      <c r="AD35">
        <v>3</v>
      </c>
      <c r="AE35">
        <v>0</v>
      </c>
      <c r="AF35">
        <v>0</v>
      </c>
      <c r="AG35">
        <v>14</v>
      </c>
      <c r="AH35">
        <v>7</v>
      </c>
      <c r="AI35">
        <v>4</v>
      </c>
      <c r="AJ35">
        <v>5</v>
      </c>
      <c r="AK35">
        <v>2.11</v>
      </c>
      <c r="AL35">
        <v>0.55000000000000004</v>
      </c>
      <c r="AM35">
        <v>0.15</v>
      </c>
      <c r="AN35">
        <v>0.42</v>
      </c>
      <c r="AO35">
        <v>2.27</v>
      </c>
      <c r="AP35">
        <v>0.97</v>
      </c>
      <c r="AQ35">
        <v>2.16</v>
      </c>
      <c r="AR35">
        <v>0.46</v>
      </c>
      <c r="AS35">
        <v>484</v>
      </c>
      <c r="AT35">
        <v>473</v>
      </c>
      <c r="AU35">
        <v>303</v>
      </c>
      <c r="AV35">
        <v>212</v>
      </c>
      <c r="AW35">
        <v>110</v>
      </c>
      <c r="AX35">
        <v>199</v>
      </c>
      <c r="AY35">
        <v>27</v>
      </c>
      <c r="AZ35">
        <v>21</v>
      </c>
      <c r="BA35">
        <v>4</v>
      </c>
      <c r="BB35">
        <v>5</v>
      </c>
      <c r="BC35">
        <v>16</v>
      </c>
      <c r="BD35">
        <v>14</v>
      </c>
      <c r="BE35">
        <v>31</v>
      </c>
      <c r="BF35">
        <v>14</v>
      </c>
      <c r="BG35">
        <v>1</v>
      </c>
      <c r="BH35">
        <v>1</v>
      </c>
      <c r="BI35" t="s">
        <v>90</v>
      </c>
      <c r="BJ35" t="s">
        <v>90</v>
      </c>
      <c r="BK35">
        <v>21</v>
      </c>
      <c r="BL35">
        <v>16</v>
      </c>
      <c r="BM35">
        <v>9</v>
      </c>
      <c r="BN35">
        <v>10</v>
      </c>
      <c r="BO35">
        <v>3</v>
      </c>
      <c r="BP35">
        <v>1</v>
      </c>
      <c r="BQ35">
        <v>18</v>
      </c>
      <c r="BR35">
        <v>30</v>
      </c>
      <c r="BS35">
        <v>3</v>
      </c>
      <c r="BT35">
        <v>4</v>
      </c>
      <c r="BU35" t="s">
        <v>90</v>
      </c>
      <c r="BV35" t="s">
        <v>90</v>
      </c>
      <c r="BW35">
        <v>42</v>
      </c>
      <c r="BX35">
        <v>48</v>
      </c>
      <c r="BY35">
        <v>37</v>
      </c>
      <c r="BZ35">
        <v>38</v>
      </c>
      <c r="CA35">
        <v>5</v>
      </c>
      <c r="CB35">
        <v>10</v>
      </c>
      <c r="CC35">
        <v>9</v>
      </c>
      <c r="CD35">
        <v>8</v>
      </c>
      <c r="CE35" t="s">
        <v>90</v>
      </c>
      <c r="CF35" t="s">
        <v>90</v>
      </c>
      <c r="CG35">
        <v>2</v>
      </c>
      <c r="CH35">
        <v>3</v>
      </c>
      <c r="CI35">
        <v>0</v>
      </c>
      <c r="CJ35">
        <v>0</v>
      </c>
    </row>
    <row r="36" spans="2:88" ht="25.5" x14ac:dyDescent="0.25">
      <c r="B36" s="3" t="s">
        <v>124</v>
      </c>
      <c r="C36" t="s">
        <v>109</v>
      </c>
      <c r="D36" t="s">
        <v>92</v>
      </c>
      <c r="E36">
        <v>0</v>
      </c>
      <c r="F36">
        <v>0</v>
      </c>
      <c r="G36">
        <v>41</v>
      </c>
      <c r="H36">
        <f t="shared" si="0"/>
        <v>59</v>
      </c>
      <c r="I36">
        <v>1.01</v>
      </c>
      <c r="J36">
        <v>1.01</v>
      </c>
      <c r="K36">
        <v>13</v>
      </c>
      <c r="L36">
        <v>11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268</v>
      </c>
      <c r="T36">
        <v>441</v>
      </c>
      <c r="U36">
        <v>10</v>
      </c>
      <c r="V36">
        <v>10</v>
      </c>
      <c r="W36">
        <v>4</v>
      </c>
      <c r="X36">
        <v>4</v>
      </c>
      <c r="Y36" t="s">
        <v>90</v>
      </c>
      <c r="Z36" t="s">
        <v>90</v>
      </c>
      <c r="AA36">
        <v>5</v>
      </c>
      <c r="AB36">
        <v>4</v>
      </c>
      <c r="AC36">
        <v>7</v>
      </c>
      <c r="AD36">
        <v>6</v>
      </c>
      <c r="AE36">
        <v>0</v>
      </c>
      <c r="AF36">
        <v>0</v>
      </c>
      <c r="AG36">
        <v>11</v>
      </c>
      <c r="AH36">
        <v>6</v>
      </c>
      <c r="AI36">
        <v>2</v>
      </c>
      <c r="AJ36">
        <v>5</v>
      </c>
      <c r="AK36">
        <v>0.53</v>
      </c>
      <c r="AL36">
        <v>0.27</v>
      </c>
      <c r="AM36">
        <v>0.48</v>
      </c>
      <c r="AN36">
        <v>0.73</v>
      </c>
      <c r="AO36">
        <v>1.01</v>
      </c>
      <c r="AP36">
        <v>1.01</v>
      </c>
      <c r="AQ36">
        <v>0.16</v>
      </c>
      <c r="AR36">
        <v>0.4</v>
      </c>
      <c r="AS36">
        <v>368</v>
      </c>
      <c r="AT36">
        <v>540</v>
      </c>
      <c r="AU36">
        <v>118</v>
      </c>
      <c r="AV36">
        <v>281</v>
      </c>
      <c r="AW36">
        <v>150</v>
      </c>
      <c r="AX36">
        <v>160</v>
      </c>
      <c r="AY36">
        <v>30</v>
      </c>
      <c r="AZ36">
        <v>26</v>
      </c>
      <c r="BA36">
        <v>5</v>
      </c>
      <c r="BB36">
        <v>3</v>
      </c>
      <c r="BC36">
        <v>21</v>
      </c>
      <c r="BD36">
        <v>28</v>
      </c>
      <c r="BE36">
        <v>34</v>
      </c>
      <c r="BF36">
        <v>26</v>
      </c>
      <c r="BG36">
        <v>2</v>
      </c>
      <c r="BH36">
        <v>2</v>
      </c>
      <c r="BI36" t="s">
        <v>90</v>
      </c>
      <c r="BJ36" t="s">
        <v>90</v>
      </c>
      <c r="BK36">
        <v>29</v>
      </c>
      <c r="BL36">
        <v>13</v>
      </c>
      <c r="BM36">
        <v>14</v>
      </c>
      <c r="BN36">
        <v>10</v>
      </c>
      <c r="BO36">
        <v>6</v>
      </c>
      <c r="BP36">
        <v>7</v>
      </c>
      <c r="BQ36">
        <v>26</v>
      </c>
      <c r="BR36">
        <v>27</v>
      </c>
      <c r="BS36">
        <v>1</v>
      </c>
      <c r="BT36">
        <v>2</v>
      </c>
      <c r="BU36" t="s">
        <v>90</v>
      </c>
      <c r="BV36" t="s">
        <v>90</v>
      </c>
      <c r="BW36">
        <v>81</v>
      </c>
      <c r="BX36">
        <v>64</v>
      </c>
      <c r="BY36">
        <v>50</v>
      </c>
      <c r="BZ36">
        <v>44</v>
      </c>
      <c r="CA36">
        <v>31</v>
      </c>
      <c r="CB36">
        <v>20</v>
      </c>
      <c r="CC36">
        <v>11</v>
      </c>
      <c r="CD36">
        <v>21</v>
      </c>
      <c r="CE36" t="s">
        <v>90</v>
      </c>
      <c r="CF36" t="s">
        <v>90</v>
      </c>
      <c r="CG36">
        <v>1</v>
      </c>
      <c r="CH36">
        <v>2</v>
      </c>
      <c r="CI36">
        <v>0</v>
      </c>
      <c r="CJ36">
        <v>0</v>
      </c>
    </row>
    <row r="37" spans="2:88" ht="25.5" x14ac:dyDescent="0.25">
      <c r="B37" s="3" t="s">
        <v>125</v>
      </c>
      <c r="C37" t="s">
        <v>97</v>
      </c>
      <c r="D37" t="s">
        <v>95</v>
      </c>
      <c r="E37">
        <v>3</v>
      </c>
      <c r="F37">
        <v>1</v>
      </c>
      <c r="G37">
        <v>34</v>
      </c>
      <c r="H37">
        <f t="shared" si="0"/>
        <v>66</v>
      </c>
      <c r="I37">
        <v>0.68</v>
      </c>
      <c r="J37">
        <v>1.5</v>
      </c>
      <c r="K37">
        <v>13</v>
      </c>
      <c r="L37">
        <v>23</v>
      </c>
      <c r="M37">
        <v>5</v>
      </c>
      <c r="N37">
        <v>2</v>
      </c>
      <c r="O37">
        <v>2</v>
      </c>
      <c r="P37">
        <v>3</v>
      </c>
      <c r="Q37">
        <v>0</v>
      </c>
      <c r="R37">
        <v>2</v>
      </c>
      <c r="S37">
        <v>232</v>
      </c>
      <c r="T37">
        <v>542</v>
      </c>
      <c r="U37">
        <v>6</v>
      </c>
      <c r="V37">
        <v>14</v>
      </c>
      <c r="W37">
        <v>6</v>
      </c>
      <c r="X37">
        <v>5</v>
      </c>
      <c r="Y37" t="s">
        <v>90</v>
      </c>
      <c r="Z37" t="s">
        <v>90</v>
      </c>
      <c r="AA37">
        <v>3</v>
      </c>
      <c r="AB37">
        <v>8</v>
      </c>
      <c r="AC37">
        <v>5</v>
      </c>
      <c r="AD37">
        <v>13</v>
      </c>
      <c r="AE37">
        <v>0</v>
      </c>
      <c r="AF37">
        <v>2</v>
      </c>
      <c r="AG37">
        <v>7</v>
      </c>
      <c r="AH37">
        <v>16</v>
      </c>
      <c r="AI37">
        <v>6</v>
      </c>
      <c r="AJ37">
        <v>7</v>
      </c>
      <c r="AK37">
        <v>0.57999999999999996</v>
      </c>
      <c r="AL37">
        <v>1.24</v>
      </c>
      <c r="AM37">
        <v>0.09</v>
      </c>
      <c r="AN37">
        <v>0.26</v>
      </c>
      <c r="AO37">
        <v>0.68</v>
      </c>
      <c r="AP37">
        <v>1.5</v>
      </c>
      <c r="AQ37">
        <v>1.89</v>
      </c>
      <c r="AR37">
        <v>0.55000000000000004</v>
      </c>
      <c r="AS37">
        <v>325</v>
      </c>
      <c r="AT37">
        <v>639</v>
      </c>
      <c r="AU37">
        <v>118</v>
      </c>
      <c r="AV37">
        <v>244</v>
      </c>
      <c r="AW37">
        <v>114</v>
      </c>
      <c r="AX37">
        <v>298</v>
      </c>
      <c r="AY37">
        <v>23</v>
      </c>
      <c r="AZ37">
        <v>25</v>
      </c>
      <c r="BA37">
        <v>5</v>
      </c>
      <c r="BB37">
        <v>6</v>
      </c>
      <c r="BC37">
        <v>14</v>
      </c>
      <c r="BD37">
        <v>23</v>
      </c>
      <c r="BE37">
        <v>16</v>
      </c>
      <c r="BF37">
        <v>60</v>
      </c>
      <c r="BG37">
        <v>1</v>
      </c>
      <c r="BH37">
        <v>3</v>
      </c>
      <c r="BI37" t="s">
        <v>90</v>
      </c>
      <c r="BJ37" t="s">
        <v>90</v>
      </c>
      <c r="BK37">
        <v>22</v>
      </c>
      <c r="BL37">
        <v>17</v>
      </c>
      <c r="BM37">
        <v>19</v>
      </c>
      <c r="BN37">
        <v>16</v>
      </c>
      <c r="BO37">
        <v>12</v>
      </c>
      <c r="BP37">
        <v>5</v>
      </c>
      <c r="BQ37">
        <v>46</v>
      </c>
      <c r="BR37">
        <v>32</v>
      </c>
      <c r="BS37">
        <v>1</v>
      </c>
      <c r="BT37">
        <v>2</v>
      </c>
      <c r="BU37" t="s">
        <v>90</v>
      </c>
      <c r="BV37" t="s">
        <v>90</v>
      </c>
      <c r="BW37">
        <v>58</v>
      </c>
      <c r="BX37">
        <v>51</v>
      </c>
      <c r="BY37">
        <v>42</v>
      </c>
      <c r="BZ37">
        <v>34</v>
      </c>
      <c r="CA37">
        <v>16</v>
      </c>
      <c r="CB37">
        <v>17</v>
      </c>
      <c r="CC37">
        <v>6</v>
      </c>
      <c r="CD37">
        <v>11</v>
      </c>
      <c r="CE37" t="s">
        <v>90</v>
      </c>
      <c r="CF37" t="s">
        <v>90</v>
      </c>
      <c r="CG37">
        <v>0</v>
      </c>
      <c r="CH37">
        <v>1</v>
      </c>
      <c r="CI37">
        <v>0</v>
      </c>
      <c r="CJ37">
        <v>0</v>
      </c>
    </row>
    <row r="38" spans="2:88" x14ac:dyDescent="0.25">
      <c r="B38" s="6" t="s">
        <v>126</v>
      </c>
      <c r="C38" s="4" t="s">
        <v>103</v>
      </c>
      <c r="D38" t="s">
        <v>107</v>
      </c>
      <c r="E38">
        <v>2</v>
      </c>
      <c r="F38">
        <v>2</v>
      </c>
      <c r="G38">
        <v>72</v>
      </c>
      <c r="H38">
        <f t="shared" si="0"/>
        <v>28</v>
      </c>
      <c r="I38">
        <v>2.31</v>
      </c>
      <c r="J38">
        <v>1.31</v>
      </c>
      <c r="K38">
        <v>21</v>
      </c>
      <c r="L38">
        <v>11</v>
      </c>
      <c r="M38">
        <v>9</v>
      </c>
      <c r="N38">
        <v>4</v>
      </c>
      <c r="O38">
        <v>4</v>
      </c>
      <c r="P38">
        <v>2</v>
      </c>
      <c r="Q38">
        <v>2</v>
      </c>
      <c r="R38">
        <v>1</v>
      </c>
      <c r="S38">
        <v>671</v>
      </c>
      <c r="T38">
        <v>216</v>
      </c>
      <c r="U38">
        <v>10</v>
      </c>
      <c r="V38">
        <v>10</v>
      </c>
      <c r="W38">
        <v>9</v>
      </c>
      <c r="X38">
        <v>3</v>
      </c>
      <c r="Y38" t="s">
        <v>90</v>
      </c>
      <c r="Z38" t="s">
        <v>90</v>
      </c>
      <c r="AA38">
        <v>9</v>
      </c>
      <c r="AB38">
        <v>3</v>
      </c>
      <c r="AC38">
        <v>3</v>
      </c>
      <c r="AD38">
        <v>4</v>
      </c>
      <c r="AE38">
        <v>0</v>
      </c>
      <c r="AF38">
        <v>0</v>
      </c>
      <c r="AG38">
        <v>11</v>
      </c>
      <c r="AH38">
        <v>6</v>
      </c>
      <c r="AI38">
        <v>10</v>
      </c>
      <c r="AJ38">
        <v>5</v>
      </c>
      <c r="AK38">
        <v>1.94</v>
      </c>
      <c r="AL38">
        <v>0.63</v>
      </c>
      <c r="AM38">
        <v>0.37</v>
      </c>
      <c r="AN38">
        <v>0.67</v>
      </c>
      <c r="AO38">
        <v>2.31</v>
      </c>
      <c r="AP38">
        <v>1.31</v>
      </c>
      <c r="AQ38">
        <v>2.17</v>
      </c>
      <c r="AR38">
        <v>1.89</v>
      </c>
      <c r="AS38">
        <v>749</v>
      </c>
      <c r="AT38">
        <v>295</v>
      </c>
      <c r="AU38">
        <v>137</v>
      </c>
      <c r="AV38">
        <v>146</v>
      </c>
      <c r="AW38">
        <v>534</v>
      </c>
      <c r="AX38">
        <v>70</v>
      </c>
      <c r="AY38">
        <v>22</v>
      </c>
      <c r="AZ38">
        <v>20</v>
      </c>
      <c r="BA38">
        <v>4</v>
      </c>
      <c r="BB38">
        <v>3</v>
      </c>
      <c r="BC38">
        <v>22</v>
      </c>
      <c r="BD38">
        <v>21</v>
      </c>
      <c r="BE38">
        <v>46</v>
      </c>
      <c r="BF38">
        <v>14</v>
      </c>
      <c r="BG38">
        <v>1</v>
      </c>
      <c r="BH38">
        <v>4</v>
      </c>
      <c r="BI38" t="s">
        <v>90</v>
      </c>
      <c r="BJ38" t="s">
        <v>90</v>
      </c>
      <c r="BK38">
        <v>14</v>
      </c>
      <c r="BL38">
        <v>20</v>
      </c>
      <c r="BM38">
        <v>9</v>
      </c>
      <c r="BN38">
        <v>12</v>
      </c>
      <c r="BO38">
        <v>4</v>
      </c>
      <c r="BP38">
        <v>3</v>
      </c>
      <c r="BQ38">
        <v>19</v>
      </c>
      <c r="BR38">
        <v>43</v>
      </c>
      <c r="BS38">
        <v>2</v>
      </c>
      <c r="BT38">
        <v>7</v>
      </c>
      <c r="BU38" t="s">
        <v>90</v>
      </c>
      <c r="BV38" t="s">
        <v>90</v>
      </c>
      <c r="BW38">
        <v>40</v>
      </c>
      <c r="BX38">
        <v>52</v>
      </c>
      <c r="BY38">
        <v>29</v>
      </c>
      <c r="BZ38">
        <v>38</v>
      </c>
      <c r="CA38">
        <v>11</v>
      </c>
      <c r="CB38">
        <v>14</v>
      </c>
      <c r="CC38">
        <v>6</v>
      </c>
      <c r="CD38">
        <v>9</v>
      </c>
      <c r="CE38" t="s">
        <v>90</v>
      </c>
      <c r="CF38" t="s">
        <v>90</v>
      </c>
      <c r="CG38">
        <v>2</v>
      </c>
      <c r="CH38">
        <v>1</v>
      </c>
      <c r="CI38">
        <v>0</v>
      </c>
      <c r="CJ38">
        <v>0</v>
      </c>
    </row>
    <row r="39" spans="2:88" ht="25.5" x14ac:dyDescent="0.25">
      <c r="B39" s="3" t="s">
        <v>127</v>
      </c>
      <c r="C39" t="s">
        <v>108</v>
      </c>
      <c r="D39" s="2" t="s">
        <v>87</v>
      </c>
      <c r="E39">
        <v>2</v>
      </c>
      <c r="F39">
        <v>2</v>
      </c>
      <c r="G39">
        <v>30</v>
      </c>
      <c r="H39">
        <f t="shared" si="0"/>
        <v>70</v>
      </c>
      <c r="I39">
        <v>2.37</v>
      </c>
      <c r="J39">
        <v>4.96</v>
      </c>
      <c r="K39">
        <v>12</v>
      </c>
      <c r="L39">
        <v>30</v>
      </c>
      <c r="M39">
        <v>5</v>
      </c>
      <c r="N39">
        <v>10</v>
      </c>
      <c r="O39">
        <v>3</v>
      </c>
      <c r="P39">
        <v>7</v>
      </c>
      <c r="Q39">
        <v>1</v>
      </c>
      <c r="R39">
        <v>5</v>
      </c>
      <c r="S39">
        <v>217</v>
      </c>
      <c r="T39">
        <v>582</v>
      </c>
      <c r="U39">
        <v>10</v>
      </c>
      <c r="V39">
        <v>6</v>
      </c>
      <c r="W39">
        <v>5</v>
      </c>
      <c r="X39">
        <v>9</v>
      </c>
      <c r="Y39" t="s">
        <v>90</v>
      </c>
      <c r="Z39" t="s">
        <v>90</v>
      </c>
      <c r="AA39">
        <v>4</v>
      </c>
      <c r="AB39">
        <v>11</v>
      </c>
      <c r="AC39">
        <v>3</v>
      </c>
      <c r="AD39">
        <v>9</v>
      </c>
      <c r="AE39">
        <v>0</v>
      </c>
      <c r="AF39">
        <v>2</v>
      </c>
      <c r="AG39">
        <v>10</v>
      </c>
      <c r="AH39">
        <v>17</v>
      </c>
      <c r="AI39">
        <v>2</v>
      </c>
      <c r="AJ39">
        <v>13</v>
      </c>
      <c r="AK39">
        <v>1.74</v>
      </c>
      <c r="AL39">
        <v>4.2300000000000004</v>
      </c>
      <c r="AM39">
        <v>0.63</v>
      </c>
      <c r="AN39">
        <v>0.73</v>
      </c>
      <c r="AO39">
        <v>2.37</v>
      </c>
      <c r="AP39">
        <v>4.96</v>
      </c>
      <c r="AQ39">
        <v>2</v>
      </c>
      <c r="AR39">
        <v>4.29</v>
      </c>
      <c r="AS39">
        <v>286</v>
      </c>
      <c r="AT39">
        <v>649</v>
      </c>
      <c r="AU39">
        <v>124</v>
      </c>
      <c r="AV39">
        <v>119</v>
      </c>
      <c r="AW39">
        <v>93</v>
      </c>
      <c r="AX39">
        <v>463</v>
      </c>
      <c r="AY39">
        <v>24</v>
      </c>
      <c r="AZ39">
        <v>23</v>
      </c>
      <c r="BA39">
        <v>1</v>
      </c>
      <c r="BB39">
        <v>6</v>
      </c>
      <c r="BC39">
        <v>14</v>
      </c>
      <c r="BD39">
        <v>22</v>
      </c>
      <c r="BE39">
        <v>23</v>
      </c>
      <c r="BF39">
        <v>62</v>
      </c>
      <c r="BG39">
        <v>1</v>
      </c>
      <c r="BH39">
        <v>4</v>
      </c>
      <c r="BI39" t="s">
        <v>90</v>
      </c>
      <c r="BJ39" t="s">
        <v>90</v>
      </c>
      <c r="BK39">
        <v>24</v>
      </c>
      <c r="BL39">
        <v>13</v>
      </c>
      <c r="BM39">
        <v>13</v>
      </c>
      <c r="BN39">
        <v>4</v>
      </c>
      <c r="BO39">
        <v>9</v>
      </c>
      <c r="BP39">
        <v>3</v>
      </c>
      <c r="BQ39">
        <v>36</v>
      </c>
      <c r="BR39">
        <v>14</v>
      </c>
      <c r="BS39">
        <v>8</v>
      </c>
      <c r="BT39">
        <v>3</v>
      </c>
      <c r="BU39" t="s">
        <v>90</v>
      </c>
      <c r="BV39" t="s">
        <v>90</v>
      </c>
      <c r="BW39">
        <v>44</v>
      </c>
      <c r="BX39">
        <v>41</v>
      </c>
      <c r="BY39">
        <v>38</v>
      </c>
      <c r="BZ39">
        <v>34</v>
      </c>
      <c r="CA39">
        <v>6</v>
      </c>
      <c r="CB39">
        <v>7</v>
      </c>
      <c r="CC39">
        <v>8</v>
      </c>
      <c r="CD39">
        <v>11</v>
      </c>
      <c r="CE39" t="s">
        <v>90</v>
      </c>
      <c r="CF39" t="s">
        <v>90</v>
      </c>
      <c r="CG39">
        <v>3</v>
      </c>
      <c r="CH39">
        <v>0</v>
      </c>
      <c r="CI39">
        <v>0</v>
      </c>
      <c r="CJ39">
        <v>0</v>
      </c>
    </row>
    <row r="40" spans="2:88" ht="25.5" x14ac:dyDescent="0.25">
      <c r="B40" s="3" t="s">
        <v>127</v>
      </c>
      <c r="C40" t="s">
        <v>95</v>
      </c>
      <c r="D40" s="4" t="s">
        <v>104</v>
      </c>
      <c r="E40">
        <v>2</v>
      </c>
      <c r="F40">
        <v>3</v>
      </c>
      <c r="G40">
        <v>64</v>
      </c>
      <c r="H40">
        <f t="shared" si="0"/>
        <v>36</v>
      </c>
      <c r="I40">
        <v>0.93</v>
      </c>
      <c r="J40">
        <v>1.28</v>
      </c>
      <c r="K40">
        <v>17</v>
      </c>
      <c r="L40">
        <v>15</v>
      </c>
      <c r="M40">
        <v>4</v>
      </c>
      <c r="N40">
        <v>4</v>
      </c>
      <c r="O40">
        <v>3</v>
      </c>
      <c r="P40">
        <v>3</v>
      </c>
      <c r="Q40">
        <v>3</v>
      </c>
      <c r="R40">
        <v>1</v>
      </c>
      <c r="S40">
        <v>444</v>
      </c>
      <c r="T40">
        <v>211</v>
      </c>
      <c r="U40">
        <v>11</v>
      </c>
      <c r="V40">
        <v>16</v>
      </c>
      <c r="W40">
        <v>7</v>
      </c>
      <c r="X40">
        <v>3</v>
      </c>
      <c r="Y40" t="s">
        <v>90</v>
      </c>
      <c r="Z40" t="s">
        <v>90</v>
      </c>
      <c r="AA40">
        <v>5</v>
      </c>
      <c r="AB40">
        <v>7</v>
      </c>
      <c r="AC40">
        <v>8</v>
      </c>
      <c r="AD40">
        <v>4</v>
      </c>
      <c r="AE40">
        <v>0</v>
      </c>
      <c r="AF40">
        <v>1</v>
      </c>
      <c r="AG40">
        <v>9</v>
      </c>
      <c r="AH40">
        <v>10</v>
      </c>
      <c r="AI40">
        <v>8</v>
      </c>
      <c r="AJ40">
        <v>5</v>
      </c>
      <c r="AK40">
        <v>0.73</v>
      </c>
      <c r="AL40">
        <v>0.62</v>
      </c>
      <c r="AM40">
        <v>0.2</v>
      </c>
      <c r="AN40">
        <v>0.66</v>
      </c>
      <c r="AO40">
        <v>0.93</v>
      </c>
      <c r="AP40">
        <v>1.28</v>
      </c>
      <c r="AQ40">
        <v>0.68</v>
      </c>
      <c r="AR40">
        <v>1.66</v>
      </c>
      <c r="AS40">
        <v>545</v>
      </c>
      <c r="AT40">
        <v>306</v>
      </c>
      <c r="AU40">
        <v>188</v>
      </c>
      <c r="AV40">
        <v>104</v>
      </c>
      <c r="AW40">
        <v>256</v>
      </c>
      <c r="AX40">
        <v>107</v>
      </c>
      <c r="AY40">
        <v>20</v>
      </c>
      <c r="AZ40">
        <v>25</v>
      </c>
      <c r="BA40">
        <v>7</v>
      </c>
      <c r="BB40">
        <v>5</v>
      </c>
      <c r="BC40">
        <v>25</v>
      </c>
      <c r="BD40">
        <v>17</v>
      </c>
      <c r="BE40">
        <v>41</v>
      </c>
      <c r="BF40">
        <v>19</v>
      </c>
      <c r="BG40">
        <v>3</v>
      </c>
      <c r="BH40">
        <v>1</v>
      </c>
      <c r="BI40" t="s">
        <v>90</v>
      </c>
      <c r="BJ40" t="s">
        <v>90</v>
      </c>
      <c r="BK40">
        <v>13</v>
      </c>
      <c r="BL40">
        <v>18</v>
      </c>
      <c r="BM40">
        <v>15</v>
      </c>
      <c r="BN40">
        <v>12</v>
      </c>
      <c r="BO40">
        <v>4</v>
      </c>
      <c r="BP40">
        <v>8</v>
      </c>
      <c r="BQ40">
        <v>25</v>
      </c>
      <c r="BR40">
        <v>40</v>
      </c>
      <c r="BS40">
        <v>1</v>
      </c>
      <c r="BT40">
        <v>3</v>
      </c>
      <c r="BU40" t="s">
        <v>90</v>
      </c>
      <c r="BV40" t="s">
        <v>90</v>
      </c>
      <c r="BW40">
        <v>65</v>
      </c>
      <c r="BX40">
        <v>49</v>
      </c>
      <c r="BY40">
        <v>37</v>
      </c>
      <c r="BZ40">
        <v>32</v>
      </c>
      <c r="CA40">
        <v>28</v>
      </c>
      <c r="CB40">
        <v>17</v>
      </c>
      <c r="CC40">
        <v>10</v>
      </c>
      <c r="CD40">
        <v>4</v>
      </c>
      <c r="CE40" t="s">
        <v>90</v>
      </c>
      <c r="CF40" t="s">
        <v>90</v>
      </c>
      <c r="CG40">
        <v>1</v>
      </c>
      <c r="CH40">
        <v>0</v>
      </c>
      <c r="CI40">
        <v>1</v>
      </c>
      <c r="CJ40">
        <v>0</v>
      </c>
    </row>
    <row r="41" spans="2:88" ht="25.5" x14ac:dyDescent="0.25">
      <c r="B41" s="3" t="s">
        <v>127</v>
      </c>
      <c r="C41" t="s">
        <v>96</v>
      </c>
      <c r="D41" s="4" t="s">
        <v>93</v>
      </c>
      <c r="E41">
        <v>3</v>
      </c>
      <c r="F41">
        <v>4</v>
      </c>
      <c r="G41">
        <v>47</v>
      </c>
      <c r="H41">
        <f t="shared" si="0"/>
        <v>53</v>
      </c>
      <c r="I41">
        <v>2.87</v>
      </c>
      <c r="J41">
        <v>1.69</v>
      </c>
      <c r="K41">
        <v>23</v>
      </c>
      <c r="L41">
        <v>16</v>
      </c>
      <c r="M41">
        <v>5</v>
      </c>
      <c r="N41">
        <v>7</v>
      </c>
      <c r="O41">
        <v>2</v>
      </c>
      <c r="P41">
        <v>4</v>
      </c>
      <c r="Q41">
        <v>1</v>
      </c>
      <c r="R41">
        <v>2</v>
      </c>
      <c r="S41">
        <v>367</v>
      </c>
      <c r="T41">
        <v>433</v>
      </c>
      <c r="U41">
        <v>11</v>
      </c>
      <c r="V41">
        <v>10</v>
      </c>
      <c r="W41">
        <v>4</v>
      </c>
      <c r="X41">
        <v>3</v>
      </c>
      <c r="Y41" t="s">
        <v>90</v>
      </c>
      <c r="Z41" t="s">
        <v>90</v>
      </c>
      <c r="AA41">
        <v>11</v>
      </c>
      <c r="AB41">
        <v>6</v>
      </c>
      <c r="AC41">
        <v>7</v>
      </c>
      <c r="AD41">
        <v>3</v>
      </c>
      <c r="AE41">
        <v>0</v>
      </c>
      <c r="AF41">
        <v>0</v>
      </c>
      <c r="AG41">
        <v>17</v>
      </c>
      <c r="AH41">
        <v>12</v>
      </c>
      <c r="AI41">
        <v>6</v>
      </c>
      <c r="AJ41">
        <v>4</v>
      </c>
      <c r="AK41">
        <v>1.24</v>
      </c>
      <c r="AL41">
        <v>1.54</v>
      </c>
      <c r="AM41">
        <v>1.63</v>
      </c>
      <c r="AN41">
        <v>0.15</v>
      </c>
      <c r="AO41">
        <v>2.87</v>
      </c>
      <c r="AP41">
        <v>1.69</v>
      </c>
      <c r="AQ41">
        <v>1.39</v>
      </c>
      <c r="AR41">
        <v>2.5099999999999998</v>
      </c>
      <c r="AS41">
        <v>442</v>
      </c>
      <c r="AT41">
        <v>508</v>
      </c>
      <c r="AU41">
        <v>176</v>
      </c>
      <c r="AV41">
        <v>215</v>
      </c>
      <c r="AW41">
        <v>191</v>
      </c>
      <c r="AX41">
        <v>218</v>
      </c>
      <c r="AY41">
        <v>16</v>
      </c>
      <c r="AZ41">
        <v>22</v>
      </c>
      <c r="BA41">
        <v>13</v>
      </c>
      <c r="BB41">
        <v>2</v>
      </c>
      <c r="BC41">
        <v>13</v>
      </c>
      <c r="BD41">
        <v>20</v>
      </c>
      <c r="BE41">
        <v>33</v>
      </c>
      <c r="BF41">
        <v>26</v>
      </c>
      <c r="BG41">
        <v>0</v>
      </c>
      <c r="BH41">
        <v>1</v>
      </c>
      <c r="BI41" t="s">
        <v>90</v>
      </c>
      <c r="BJ41" t="s">
        <v>90</v>
      </c>
      <c r="BK41">
        <v>17</v>
      </c>
      <c r="BL41">
        <v>16</v>
      </c>
      <c r="BM41">
        <v>10</v>
      </c>
      <c r="BN41">
        <v>10</v>
      </c>
      <c r="BO41">
        <v>3</v>
      </c>
      <c r="BP41">
        <v>8</v>
      </c>
      <c r="BQ41">
        <v>18</v>
      </c>
      <c r="BR41">
        <v>20</v>
      </c>
      <c r="BS41">
        <v>3</v>
      </c>
      <c r="BT41">
        <v>1</v>
      </c>
      <c r="BU41" t="s">
        <v>90</v>
      </c>
      <c r="BV41" t="s">
        <v>90</v>
      </c>
      <c r="BW41">
        <v>43</v>
      </c>
      <c r="BX41">
        <v>37</v>
      </c>
      <c r="BY41">
        <v>30</v>
      </c>
      <c r="BZ41">
        <v>31</v>
      </c>
      <c r="CA41">
        <v>13</v>
      </c>
      <c r="CB41">
        <v>6</v>
      </c>
      <c r="CC41">
        <v>2</v>
      </c>
      <c r="CD41">
        <v>4</v>
      </c>
      <c r="CE41" t="s">
        <v>90</v>
      </c>
      <c r="CF41" t="s">
        <v>90</v>
      </c>
      <c r="CG41">
        <v>3</v>
      </c>
      <c r="CH41">
        <v>1</v>
      </c>
      <c r="CI41">
        <v>0</v>
      </c>
      <c r="CJ41">
        <v>0</v>
      </c>
    </row>
    <row r="42" spans="2:88" ht="25.5" x14ac:dyDescent="0.25">
      <c r="B42" s="3" t="s">
        <v>127</v>
      </c>
      <c r="C42" t="s">
        <v>97</v>
      </c>
      <c r="D42" t="s">
        <v>88</v>
      </c>
      <c r="E42">
        <v>0</v>
      </c>
      <c r="F42">
        <v>2</v>
      </c>
      <c r="G42">
        <v>52</v>
      </c>
      <c r="H42">
        <f t="shared" si="0"/>
        <v>48</v>
      </c>
      <c r="I42">
        <v>1.96</v>
      </c>
      <c r="J42">
        <v>2.4700000000000002</v>
      </c>
      <c r="K42">
        <v>24</v>
      </c>
      <c r="L42">
        <v>18</v>
      </c>
      <c r="M42">
        <v>6</v>
      </c>
      <c r="N42">
        <v>8</v>
      </c>
      <c r="O42">
        <v>4</v>
      </c>
      <c r="P42">
        <v>6</v>
      </c>
      <c r="Q42">
        <v>4</v>
      </c>
      <c r="R42">
        <v>5</v>
      </c>
      <c r="S42">
        <v>400</v>
      </c>
      <c r="T42">
        <v>358</v>
      </c>
      <c r="U42">
        <v>10</v>
      </c>
      <c r="V42">
        <v>11</v>
      </c>
      <c r="W42">
        <v>7</v>
      </c>
      <c r="X42">
        <v>5</v>
      </c>
      <c r="Y42" t="s">
        <v>90</v>
      </c>
      <c r="Z42" t="s">
        <v>90</v>
      </c>
      <c r="AA42">
        <v>10</v>
      </c>
      <c r="AB42">
        <v>5</v>
      </c>
      <c r="AC42">
        <v>8</v>
      </c>
      <c r="AD42">
        <v>5</v>
      </c>
      <c r="AE42">
        <v>0</v>
      </c>
      <c r="AF42">
        <v>1</v>
      </c>
      <c r="AG42">
        <v>16</v>
      </c>
      <c r="AH42">
        <v>16</v>
      </c>
      <c r="AI42">
        <v>8</v>
      </c>
      <c r="AJ42">
        <v>2</v>
      </c>
      <c r="AK42">
        <v>1.51</v>
      </c>
      <c r="AL42">
        <v>2.02</v>
      </c>
      <c r="AM42">
        <v>0.45</v>
      </c>
      <c r="AN42">
        <v>0.46</v>
      </c>
      <c r="AO42">
        <v>1.96</v>
      </c>
      <c r="AP42">
        <v>2.4700000000000002</v>
      </c>
      <c r="AQ42">
        <v>0.4</v>
      </c>
      <c r="AR42">
        <v>1.85</v>
      </c>
      <c r="AS42">
        <v>489</v>
      </c>
      <c r="AT42">
        <v>458</v>
      </c>
      <c r="AU42">
        <v>209</v>
      </c>
      <c r="AV42">
        <v>217</v>
      </c>
      <c r="AW42">
        <v>191</v>
      </c>
      <c r="AX42">
        <v>141</v>
      </c>
      <c r="AY42">
        <v>22</v>
      </c>
      <c r="AZ42">
        <v>28</v>
      </c>
      <c r="BA42">
        <v>8</v>
      </c>
      <c r="BB42">
        <v>4</v>
      </c>
      <c r="BC42">
        <v>19</v>
      </c>
      <c r="BD42">
        <v>15</v>
      </c>
      <c r="BE42">
        <v>36</v>
      </c>
      <c r="BF42">
        <v>34</v>
      </c>
      <c r="BG42">
        <v>1</v>
      </c>
      <c r="BH42">
        <v>1</v>
      </c>
      <c r="BI42" t="s">
        <v>90</v>
      </c>
      <c r="BJ42" t="s">
        <v>90</v>
      </c>
      <c r="BK42">
        <v>23</v>
      </c>
      <c r="BL42">
        <v>21</v>
      </c>
      <c r="BM42">
        <v>15</v>
      </c>
      <c r="BN42">
        <v>10</v>
      </c>
      <c r="BO42">
        <v>6</v>
      </c>
      <c r="BP42">
        <v>10</v>
      </c>
      <c r="BQ42">
        <v>15</v>
      </c>
      <c r="BR42">
        <v>41</v>
      </c>
      <c r="BS42">
        <v>5</v>
      </c>
      <c r="BT42">
        <v>4</v>
      </c>
      <c r="BU42" t="s">
        <v>90</v>
      </c>
      <c r="BV42" t="s">
        <v>90</v>
      </c>
      <c r="BW42">
        <v>64</v>
      </c>
      <c r="BX42">
        <v>62</v>
      </c>
      <c r="BY42">
        <v>45</v>
      </c>
      <c r="BZ42">
        <v>38</v>
      </c>
      <c r="CA42">
        <v>19</v>
      </c>
      <c r="CB42">
        <v>24</v>
      </c>
      <c r="CC42">
        <v>11</v>
      </c>
      <c r="CD42">
        <v>7</v>
      </c>
      <c r="CE42" t="s">
        <v>90</v>
      </c>
      <c r="CF42" t="s">
        <v>90</v>
      </c>
      <c r="CG42">
        <v>1</v>
      </c>
      <c r="CH42">
        <v>0</v>
      </c>
      <c r="CI42">
        <v>0</v>
      </c>
      <c r="CJ42">
        <v>0</v>
      </c>
    </row>
    <row r="43" spans="2:88" ht="25.5" x14ac:dyDescent="0.25">
      <c r="B43" s="3" t="s">
        <v>127</v>
      </c>
      <c r="C43" t="s">
        <v>100</v>
      </c>
      <c r="D43" t="s">
        <v>92</v>
      </c>
      <c r="E43">
        <v>1</v>
      </c>
      <c r="F43">
        <v>0</v>
      </c>
      <c r="G43">
        <v>43</v>
      </c>
      <c r="H43">
        <f t="shared" si="0"/>
        <v>57</v>
      </c>
      <c r="I43">
        <v>1.1299999999999999</v>
      </c>
      <c r="J43">
        <v>0.24</v>
      </c>
      <c r="K43">
        <v>19</v>
      </c>
      <c r="L43">
        <v>7</v>
      </c>
      <c r="M43">
        <v>6</v>
      </c>
      <c r="N43">
        <v>2</v>
      </c>
      <c r="O43">
        <v>0</v>
      </c>
      <c r="P43">
        <v>0</v>
      </c>
      <c r="Q43">
        <v>0</v>
      </c>
      <c r="R43">
        <v>0</v>
      </c>
      <c r="S43">
        <v>252</v>
      </c>
      <c r="T43">
        <v>368</v>
      </c>
      <c r="U43">
        <v>14</v>
      </c>
      <c r="V43">
        <v>9</v>
      </c>
      <c r="W43">
        <v>7</v>
      </c>
      <c r="X43">
        <v>3</v>
      </c>
      <c r="Y43" t="s">
        <v>90</v>
      </c>
      <c r="Z43" t="s">
        <v>90</v>
      </c>
      <c r="AA43">
        <v>7</v>
      </c>
      <c r="AB43">
        <v>5</v>
      </c>
      <c r="AC43">
        <v>6</v>
      </c>
      <c r="AD43">
        <v>0</v>
      </c>
      <c r="AE43">
        <v>0</v>
      </c>
      <c r="AF43">
        <v>2</v>
      </c>
      <c r="AG43">
        <v>13</v>
      </c>
      <c r="AH43">
        <v>6</v>
      </c>
      <c r="AI43">
        <v>6</v>
      </c>
      <c r="AJ43">
        <v>1</v>
      </c>
      <c r="AK43">
        <v>0.73</v>
      </c>
      <c r="AL43">
        <v>0.08</v>
      </c>
      <c r="AM43">
        <v>0.41</v>
      </c>
      <c r="AN43">
        <v>0.16</v>
      </c>
      <c r="AO43">
        <v>1.1299999999999999</v>
      </c>
      <c r="AP43">
        <v>0.24</v>
      </c>
      <c r="AQ43">
        <v>1.0900000000000001</v>
      </c>
      <c r="AR43">
        <v>0.15</v>
      </c>
      <c r="AS43">
        <v>326</v>
      </c>
      <c r="AT43">
        <v>452</v>
      </c>
      <c r="AU43">
        <v>142</v>
      </c>
      <c r="AV43">
        <v>232</v>
      </c>
      <c r="AW43">
        <v>110</v>
      </c>
      <c r="AX43">
        <v>136</v>
      </c>
      <c r="AY43">
        <v>23</v>
      </c>
      <c r="AZ43">
        <v>32</v>
      </c>
      <c r="BA43">
        <v>8</v>
      </c>
      <c r="BB43">
        <v>5</v>
      </c>
      <c r="BC43">
        <v>24</v>
      </c>
      <c r="BD43">
        <v>28</v>
      </c>
      <c r="BE43">
        <v>23</v>
      </c>
      <c r="BF43">
        <v>22</v>
      </c>
      <c r="BG43">
        <v>3</v>
      </c>
      <c r="BH43">
        <v>7</v>
      </c>
      <c r="BI43" t="s">
        <v>90</v>
      </c>
      <c r="BJ43" t="s">
        <v>90</v>
      </c>
      <c r="BK43">
        <v>16</v>
      </c>
      <c r="BL43">
        <v>12</v>
      </c>
      <c r="BM43">
        <v>17</v>
      </c>
      <c r="BN43">
        <v>7</v>
      </c>
      <c r="BO43">
        <v>0</v>
      </c>
      <c r="BP43">
        <v>6</v>
      </c>
      <c r="BQ43">
        <v>29</v>
      </c>
      <c r="BR43">
        <v>28</v>
      </c>
      <c r="BS43">
        <v>2</v>
      </c>
      <c r="BT43">
        <v>5</v>
      </c>
      <c r="BU43" t="s">
        <v>90</v>
      </c>
      <c r="BV43" t="s">
        <v>90</v>
      </c>
      <c r="BW43">
        <v>49</v>
      </c>
      <c r="BX43">
        <v>51</v>
      </c>
      <c r="BY43">
        <v>31</v>
      </c>
      <c r="BZ43">
        <v>30</v>
      </c>
      <c r="CA43">
        <v>18</v>
      </c>
      <c r="CB43">
        <v>21</v>
      </c>
      <c r="CC43">
        <v>7</v>
      </c>
      <c r="CD43">
        <v>5</v>
      </c>
      <c r="CE43" t="s">
        <v>90</v>
      </c>
      <c r="CF43" t="s">
        <v>90</v>
      </c>
      <c r="CG43">
        <v>2</v>
      </c>
      <c r="CH43">
        <v>1</v>
      </c>
      <c r="CI43">
        <v>0</v>
      </c>
      <c r="CJ43">
        <v>0</v>
      </c>
    </row>
    <row r="44" spans="2:88" ht="25.5" x14ac:dyDescent="0.25">
      <c r="B44" s="3" t="s">
        <v>128</v>
      </c>
      <c r="C44" t="s">
        <v>98</v>
      </c>
      <c r="D44" t="s">
        <v>101</v>
      </c>
      <c r="E44">
        <v>6</v>
      </c>
      <c r="F44">
        <v>0</v>
      </c>
      <c r="G44">
        <v>47</v>
      </c>
      <c r="H44">
        <f t="shared" si="0"/>
        <v>53</v>
      </c>
      <c r="I44">
        <v>4.03</v>
      </c>
      <c r="J44">
        <v>1.46</v>
      </c>
      <c r="K44">
        <v>20</v>
      </c>
      <c r="L44">
        <v>18</v>
      </c>
      <c r="M44">
        <v>10</v>
      </c>
      <c r="N44">
        <v>9</v>
      </c>
      <c r="O44">
        <v>8</v>
      </c>
      <c r="P44">
        <v>5</v>
      </c>
      <c r="Q44">
        <v>3</v>
      </c>
      <c r="R44">
        <v>5</v>
      </c>
      <c r="S44">
        <v>376</v>
      </c>
      <c r="T44">
        <v>423</v>
      </c>
      <c r="U44">
        <v>16</v>
      </c>
      <c r="V44">
        <v>13</v>
      </c>
      <c r="W44">
        <v>3</v>
      </c>
      <c r="X44">
        <v>6</v>
      </c>
      <c r="Y44" t="s">
        <v>90</v>
      </c>
      <c r="Z44" t="s">
        <v>90</v>
      </c>
      <c r="AA44">
        <v>5</v>
      </c>
      <c r="AB44">
        <v>5</v>
      </c>
      <c r="AC44">
        <v>5</v>
      </c>
      <c r="AD44">
        <v>4</v>
      </c>
      <c r="AE44">
        <v>0</v>
      </c>
      <c r="AF44">
        <v>0</v>
      </c>
      <c r="AG44">
        <v>18</v>
      </c>
      <c r="AH44">
        <v>16</v>
      </c>
      <c r="AI44">
        <v>2</v>
      </c>
      <c r="AJ44">
        <v>2</v>
      </c>
      <c r="AK44">
        <v>3.05</v>
      </c>
      <c r="AL44">
        <v>1.17</v>
      </c>
      <c r="AM44">
        <v>0.97</v>
      </c>
      <c r="AN44">
        <v>0.28000000000000003</v>
      </c>
      <c r="AO44">
        <v>4.03</v>
      </c>
      <c r="AP44">
        <v>1.46</v>
      </c>
      <c r="AQ44">
        <v>4.9800000000000004</v>
      </c>
      <c r="AR44">
        <v>2.33</v>
      </c>
      <c r="AS44">
        <v>434</v>
      </c>
      <c r="AT44">
        <v>486</v>
      </c>
      <c r="AU44">
        <v>256</v>
      </c>
      <c r="AV44">
        <v>218</v>
      </c>
      <c r="AW44">
        <v>120</v>
      </c>
      <c r="AX44">
        <v>205</v>
      </c>
      <c r="AY44">
        <v>25</v>
      </c>
      <c r="AZ44">
        <v>23</v>
      </c>
      <c r="BA44">
        <v>5</v>
      </c>
      <c r="BB44">
        <v>6</v>
      </c>
      <c r="BC44">
        <v>17</v>
      </c>
      <c r="BD44">
        <v>15</v>
      </c>
      <c r="BE44">
        <v>37</v>
      </c>
      <c r="BF44">
        <v>32</v>
      </c>
      <c r="BG44">
        <v>1</v>
      </c>
      <c r="BH44">
        <v>2</v>
      </c>
      <c r="BI44" t="s">
        <v>90</v>
      </c>
      <c r="BJ44" t="s">
        <v>90</v>
      </c>
      <c r="BK44">
        <v>24</v>
      </c>
      <c r="BL44">
        <v>20</v>
      </c>
      <c r="BM44">
        <v>8</v>
      </c>
      <c r="BN44">
        <v>11</v>
      </c>
      <c r="BO44">
        <v>4</v>
      </c>
      <c r="BP44">
        <v>4</v>
      </c>
      <c r="BQ44">
        <v>26</v>
      </c>
      <c r="BR44">
        <v>17</v>
      </c>
      <c r="BS44">
        <v>9</v>
      </c>
      <c r="BT44">
        <v>4</v>
      </c>
      <c r="BU44" t="s">
        <v>90</v>
      </c>
      <c r="BV44" t="s">
        <v>90</v>
      </c>
      <c r="BW44">
        <v>57</v>
      </c>
      <c r="BX44">
        <v>53</v>
      </c>
      <c r="BY44">
        <v>46</v>
      </c>
      <c r="BZ44">
        <v>43</v>
      </c>
      <c r="CA44">
        <v>11</v>
      </c>
      <c r="CB44">
        <v>10</v>
      </c>
      <c r="CC44">
        <v>10</v>
      </c>
      <c r="CD44">
        <v>7</v>
      </c>
      <c r="CE44" t="s">
        <v>90</v>
      </c>
      <c r="CF44" t="s">
        <v>90</v>
      </c>
      <c r="CG44">
        <v>1</v>
      </c>
      <c r="CH44">
        <v>3</v>
      </c>
      <c r="CI44">
        <v>0</v>
      </c>
      <c r="CJ4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Kwieciński</dc:creator>
  <cp:lastModifiedBy>Jakub Kwieciński</cp:lastModifiedBy>
  <dcterms:created xsi:type="dcterms:W3CDTF">2026-08-29T13:57:13Z</dcterms:created>
  <dcterms:modified xsi:type="dcterms:W3CDTF">2026-10-10T22:08:44Z</dcterms:modified>
</cp:coreProperties>
</file>